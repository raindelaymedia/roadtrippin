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📊 Overview &amp; Trends" sheetId="1" state="visible" r:id="rId1"/>
    <sheet xmlns:r="http://schemas.openxmlformats.org/officeDocument/2006/relationships" name="💸 Pay Tracker" sheetId="2" state="visible" r:id="rId2"/>
    <sheet xmlns:r="http://schemas.openxmlformats.org/officeDocument/2006/relationships" name="📈 Monthly &amp; Quarterly" sheetId="3" state="visible" r:id="rId3"/>
    <sheet xmlns:r="http://schemas.openxmlformats.org/officeDocument/2006/relationships" name="⏰ Pay Schedules" sheetId="4" state="visible" r:id="rId4"/>
    <sheet xmlns:r="http://schemas.openxmlformats.org/officeDocument/2006/relationships" name="🧾 Reimbursements" sheetId="5" state="hidden" r:id="rId5"/>
  </sheets>
  <definedNames>
    <definedName name="Z_5AB5E90F_2BED_402E_895E_05507E944502_.wvu.FilterData" localSheetId="1" hidden="1">'💸 Pay Tracker'!$A$1:$O$24</definedName>
    <definedName name="Z_15772B0E_A245_4E0A_A7D1_2DD8FE810785_.wvu.FilterData" localSheetId="1" hidden="1">'💸 Pay Tracker'!$A$1:$O$24</definedName>
    <definedName name="_xlnm._FilterDatabase" localSheetId="1" hidden="1">'💸 Pay Tracker'!$A$1:$O$24</definedName>
  </definedNames>
  <calcPr calcId="124519" fullCalcOnLoad="1"/>
</workbook>
</file>

<file path=xl/styles.xml><?xml version="1.0" encoding="utf-8"?>
<styleSheet xmlns="http://schemas.openxmlformats.org/spreadsheetml/2006/main">
  <numFmts count="8">
    <numFmt numFmtId="164" formatCode="&quot;$&quot;#,##0.00"/>
    <numFmt numFmtId="165" formatCode="&quot;$&quot;#,##0"/>
    <numFmt numFmtId="166" formatCode="M/d/yyyy"/>
    <numFmt numFmtId="167" formatCode="mmm d"/>
    <numFmt numFmtId="168" formatCode="_(&quot;$&quot;* #,##0.00_);_(&quot;$&quot;* \(#,##0.00\);_(&quot;$&quot;* &quot;-&quot;??_);_(@_)"/>
    <numFmt numFmtId="169" formatCode="\$#,##0.00"/>
    <numFmt numFmtId="170" formatCode="0.0%"/>
    <numFmt numFmtId="171" formatCode="mmm yyyy"/>
  </numFmts>
  <fonts count="29">
    <font>
      <name val="Calibri"/>
      <color theme="1"/>
      <sz val="11"/>
      <scheme val="minor"/>
    </font>
    <font>
      <name val="Arial"/>
      <b val="1"/>
      <color theme="1"/>
    </font>
    <font>
      <name val="Barlow Condensed"/>
      <b val="1"/>
      <color theme="1"/>
      <sz val="18"/>
    </font>
    <font>
      <name val="Barlow Condensed"/>
      <b val="1"/>
      <color theme="1"/>
      <sz val="14"/>
    </font>
    <font>
      <name val="Barlow Condensed"/>
      <color theme="1"/>
      <sz val="13"/>
    </font>
    <font>
      <name val="Barlow Condensed"/>
      <b val="1"/>
      <color theme="1"/>
      <sz val="12"/>
    </font>
    <font>
      <name val="Arial"/>
      <color theme="1"/>
    </font>
    <font>
      <name val="Barlow Condensed"/>
      <color theme="1"/>
      <sz val="12"/>
    </font>
    <font>
      <name val="Barlow Condensed"/>
      <b val="1"/>
      <color theme="1"/>
      <sz val="12"/>
      <u val="single"/>
    </font>
    <font>
      <name val="Barlow Condensed"/>
      <color rgb="FF000000"/>
      <sz val="13"/>
    </font>
    <font>
      <name val="Barlow Condensed"/>
      <color rgb="FFFF0000"/>
      <sz val="13"/>
    </font>
    <font>
      <name val="Barlow Condensed"/>
      <color rgb="FFD9D9D9"/>
      <sz val="13"/>
    </font>
    <font>
      <name val="Barlow Condensed"/>
      <b val="1"/>
      <color theme="1"/>
      <sz val="13"/>
    </font>
    <font>
      <name val="Barlow Condensed"/>
      <color rgb="FF999999"/>
      <sz val="13"/>
    </font>
    <font>
      <name val="Barlow Condensed"/>
      <color theme="1"/>
    </font>
    <font>
      <name val="Calibri"/>
      <color theme="1"/>
      <scheme val="minor"/>
    </font>
    <font>
      <name val="Calibri"/>
      <color rgb="FF000000"/>
      <scheme val="minor"/>
    </font>
    <font>
      <name val="Calibri"/>
      <color rgb="FFCCCCCC"/>
      <scheme val="minor"/>
    </font>
    <font>
      <name val="Calibri"/>
      <color theme="1"/>
      <u val="single"/>
      <scheme val="minor"/>
    </font>
    <font>
      <name val="Calibri"/>
      <color rgb="FF000000"/>
      <u val="single"/>
      <scheme val="minor"/>
    </font>
    <font>
      <name val="Cambria"/>
      <b val="1"/>
      <color rgb="FF1F4E79"/>
      <sz val="14"/>
    </font>
    <font>
      <name val="Calibri"/>
      <color theme="1"/>
      <sz val="11"/>
    </font>
    <font>
      <name val="Cambria"/>
      <i val="1"/>
      <color rgb="FF666666"/>
      <sz val="11"/>
    </font>
    <font>
      <name val="Cambria"/>
      <b val="1"/>
      <color rgb="FFFFFFFF"/>
      <sz val="11"/>
    </font>
    <font>
      <name val="Cambria"/>
      <color theme="1"/>
      <sz val="11"/>
    </font>
    <font>
      <name val="Cambria"/>
      <b val="1"/>
      <color theme="1"/>
      <sz val="11"/>
    </font>
    <font>
      <name val="Cambria"/>
      <b val="1"/>
      <color rgb="FF1F4E79"/>
      <sz val="12"/>
    </font>
    <font>
      <name val="Calibri"/>
      <color rgb="FFFF0000"/>
      <scheme val="minor"/>
    </font>
    <font>
      <name val="Barlow Condensed"/>
      <sz val="13"/>
    </font>
  </fonts>
  <fills count="9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00FF00"/>
        <bgColor rgb="FF00FF00"/>
      </patternFill>
    </fill>
    <fill>
      <patternFill patternType="solid">
        <fgColor rgb="FF1F4E79"/>
        <bgColor rgb="FF1F4E79"/>
      </patternFill>
    </fill>
    <fill>
      <patternFill patternType="solid">
        <fgColor rgb="FF203864"/>
        <bgColor rgb="FF203864"/>
      </patternFill>
    </fill>
    <fill>
      <patternFill patternType="solid">
        <fgColor rgb="FFD6DCE5"/>
        <bgColor rgb="FFD6DCE5"/>
      </patternFill>
    </fill>
    <fill>
      <patternFill patternType="solid">
        <fgColor rgb="FF2E75B6"/>
        <bgColor rgb="FF2E75B6"/>
      </patternFill>
    </fill>
  </fills>
  <borders count="15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FF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right style="medium">
        <color rgb="FF000000"/>
      </righ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</border>
    <border>
      <left style="medium">
        <color rgb="FF000000"/>
      </left>
    </border>
    <border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3">
    <xf numFmtId="0" fontId="0" fillId="0" borderId="0" applyAlignment="1" pivotButton="0" quotePrefix="0" xfId="0">
      <alignment vertical="bottom"/>
    </xf>
    <xf numFmtId="0" fontId="1" fillId="2" borderId="0" applyAlignment="1" pivotButton="0" quotePrefix="0" xfId="0">
      <alignment horizontal="center" vertical="bottom"/>
    </xf>
    <xf numFmtId="0" fontId="2" fillId="3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center" vertical="center"/>
    </xf>
    <xf numFmtId="0" fontId="2" fillId="3" borderId="3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bottom"/>
    </xf>
    <xf numFmtId="0" fontId="4" fillId="3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3" borderId="2" applyAlignment="1" pivotButton="0" quotePrefix="0" xfId="0">
      <alignment horizontal="center" vertical="center"/>
    </xf>
    <xf numFmtId="0" fontId="4" fillId="3" borderId="3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bottom"/>
    </xf>
    <xf numFmtId="3" fontId="4" fillId="0" borderId="0" applyAlignment="1" pivotButton="0" quotePrefix="0" xfId="0">
      <alignment horizontal="right" vertical="bottom"/>
    </xf>
    <xf numFmtId="0" fontId="6" fillId="2" borderId="0" applyAlignment="1" pivotButton="0" quotePrefix="0" xfId="0">
      <alignment vertical="bottom"/>
    </xf>
    <xf numFmtId="49" fontId="4" fillId="0" borderId="4" applyAlignment="1" pivotButton="0" quotePrefix="0" xfId="0">
      <alignment horizontal="center" vertical="center"/>
    </xf>
    <xf numFmtId="49" fontId="4" fillId="0" borderId="1" applyAlignment="1" pivotButton="0" quotePrefix="0" xfId="0">
      <alignment horizontal="center" vertical="center"/>
    </xf>
    <xf numFmtId="49" fontId="4" fillId="0" borderId="5" applyAlignment="1" pivotButton="0" quotePrefix="0" xfId="0">
      <alignment horizontal="center" vertical="center"/>
    </xf>
    <xf numFmtId="49" fontId="4" fillId="0" borderId="3" applyAlignment="1" pivotButton="0" quotePrefix="0" xfId="0">
      <alignment horizontal="center" vertical="center"/>
    </xf>
    <xf numFmtId="49" fontId="4" fillId="0" borderId="6" applyAlignment="1" pivotButton="0" quotePrefix="0" xfId="0">
      <alignment horizontal="center" vertical="center"/>
    </xf>
    <xf numFmtId="49" fontId="7" fillId="0" borderId="0" applyAlignment="1" pivotButton="0" quotePrefix="0" xfId="0">
      <alignment horizontal="center" vertical="bottom"/>
    </xf>
    <xf numFmtId="0" fontId="8" fillId="3" borderId="7" applyAlignment="1" pivotButton="0" quotePrefix="0" xfId="0">
      <alignment horizontal="center" vertical="bottom"/>
    </xf>
    <xf numFmtId="164" fontId="4" fillId="3" borderId="8" applyAlignment="1" pivotButton="0" quotePrefix="0" xfId="0">
      <alignment horizontal="center" vertical="center"/>
    </xf>
    <xf numFmtId="164" fontId="4" fillId="3" borderId="9" applyAlignment="1" pivotButton="0" quotePrefix="0" xfId="0">
      <alignment horizontal="center" vertical="center"/>
    </xf>
    <xf numFmtId="164" fontId="4" fillId="3" borderId="7" applyAlignment="1" pivotButton="0" quotePrefix="0" xfId="0">
      <alignment horizontal="center" vertical="center"/>
    </xf>
    <xf numFmtId="164" fontId="9" fillId="3" borderId="7" applyAlignment="1" pivotButton="0" quotePrefix="0" xfId="0">
      <alignment horizontal="center" vertical="center"/>
    </xf>
    <xf numFmtId="0" fontId="7" fillId="3" borderId="10" applyAlignment="1" pivotButton="0" quotePrefix="0" xfId="0">
      <alignment horizontal="center" vertical="center"/>
    </xf>
    <xf numFmtId="164" fontId="4" fillId="0" borderId="10" applyAlignment="1" pivotButton="0" quotePrefix="0" xfId="0">
      <alignment horizontal="center" vertical="center"/>
    </xf>
    <xf numFmtId="164" fontId="4" fillId="0" borderId="0" applyAlignment="1" pivotButton="0" quotePrefix="0" xfId="0">
      <alignment horizontal="center" vertical="center"/>
    </xf>
    <xf numFmtId="164" fontId="4" fillId="0" borderId="9" applyAlignment="1" pivotButton="0" quotePrefix="0" xfId="0">
      <alignment horizontal="center" vertical="center"/>
    </xf>
    <xf numFmtId="164" fontId="9" fillId="0" borderId="9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164" fontId="10" fillId="0" borderId="10" applyAlignment="1" pivotButton="0" quotePrefix="0" xfId="0">
      <alignment horizontal="center" vertical="center"/>
    </xf>
    <xf numFmtId="164" fontId="9" fillId="0" borderId="0" applyAlignment="1" pivotButton="0" quotePrefix="0" xfId="0">
      <alignment horizontal="center" vertical="center"/>
    </xf>
    <xf numFmtId="164" fontId="11" fillId="0" borderId="0" applyAlignment="1" pivotButton="0" quotePrefix="0" xfId="0">
      <alignment horizontal="center" vertical="center"/>
    </xf>
    <xf numFmtId="164" fontId="11" fillId="0" borderId="9" applyAlignment="1" pivotButton="0" quotePrefix="0" xfId="0">
      <alignment horizontal="center" vertical="center"/>
    </xf>
    <xf numFmtId="164" fontId="4" fillId="0" borderId="9" applyAlignment="1" pivotButton="0" quotePrefix="0" xfId="0">
      <alignment horizontal="center" vertical="center"/>
    </xf>
    <xf numFmtId="164" fontId="4" fillId="0" borderId="6" applyAlignment="1" pivotButton="0" quotePrefix="0" xfId="0">
      <alignment horizontal="center" vertical="center"/>
    </xf>
    <xf numFmtId="164" fontId="4" fillId="3" borderId="9" applyAlignment="1" pivotButton="0" quotePrefix="0" xfId="0">
      <alignment horizontal="center" vertical="center"/>
    </xf>
    <xf numFmtId="3" fontId="12" fillId="0" borderId="0" applyAlignment="1" pivotButton="0" quotePrefix="0" xfId="0">
      <alignment horizontal="right" vertical="bottom"/>
    </xf>
    <xf numFmtId="0" fontId="7" fillId="3" borderId="11" applyAlignment="1" pivotButton="0" quotePrefix="0" xfId="0">
      <alignment horizontal="center" vertical="center"/>
    </xf>
    <xf numFmtId="164" fontId="9" fillId="0" borderId="12" applyAlignment="1" pivotButton="0" quotePrefix="0" xfId="0">
      <alignment horizontal="center" vertical="center"/>
    </xf>
    <xf numFmtId="164" fontId="11" fillId="0" borderId="11" applyAlignment="1" pivotButton="0" quotePrefix="0" xfId="0">
      <alignment horizontal="center" vertical="center"/>
    </xf>
    <xf numFmtId="164" fontId="11" fillId="0" borderId="6" applyAlignment="1" pivotButton="0" quotePrefix="0" xfId="0">
      <alignment horizontal="center" vertical="center"/>
    </xf>
    <xf numFmtId="0" fontId="5" fillId="3" borderId="7" applyAlignment="1" pivotButton="0" quotePrefix="0" xfId="0">
      <alignment horizontal="center" vertical="bottom"/>
    </xf>
    <xf numFmtId="164" fontId="13" fillId="0" borderId="11" applyAlignment="1" pivotButton="0" quotePrefix="0" xfId="0">
      <alignment horizontal="center" vertical="center"/>
    </xf>
    <xf numFmtId="164" fontId="13" fillId="0" borderId="0" applyAlignment="1" pivotButton="0" quotePrefix="0" xfId="0">
      <alignment horizontal="center" vertical="center"/>
    </xf>
    <xf numFmtId="164" fontId="11" fillId="0" borderId="7" applyAlignment="1" pivotButton="0" quotePrefix="0" xfId="0">
      <alignment horizontal="center" vertical="center"/>
    </xf>
    <xf numFmtId="164" fontId="4" fillId="0" borderId="6" applyAlignment="1" pivotButton="0" quotePrefix="0" xfId="0">
      <alignment horizontal="center" vertical="center"/>
    </xf>
    <xf numFmtId="165" fontId="9" fillId="0" borderId="0" applyAlignment="1" pivotButton="0" quotePrefix="0" xfId="0">
      <alignment horizontal="center" vertical="center"/>
    </xf>
    <xf numFmtId="164" fontId="11" fillId="0" borderId="2" applyAlignment="1" pivotButton="0" quotePrefix="0" xfId="0">
      <alignment horizontal="center" vertical="center"/>
    </xf>
    <xf numFmtId="164" fontId="11" fillId="0" borderId="3" applyAlignment="1" pivotButton="0" quotePrefix="0" xfId="0">
      <alignment horizontal="center" vertical="center"/>
    </xf>
    <xf numFmtId="0" fontId="5" fillId="3" borderId="3" applyAlignment="1" pivotButton="0" quotePrefix="0" xfId="0">
      <alignment horizontal="center" vertical="bottom"/>
    </xf>
    <xf numFmtId="0" fontId="5" fillId="3" borderId="13" applyAlignment="1" pivotButton="0" quotePrefix="0" xfId="0">
      <alignment horizontal="center" vertical="bottom"/>
    </xf>
    <xf numFmtId="164" fontId="4" fillId="0" borderId="11" applyAlignment="1" pivotButton="0" quotePrefix="0" xfId="0">
      <alignment horizontal="center" vertical="center"/>
    </xf>
    <xf numFmtId="164" fontId="4" fillId="0" borderId="3" applyAlignment="1" pivotButton="0" quotePrefix="0" xfId="0">
      <alignment horizontal="center" vertical="center"/>
    </xf>
    <xf numFmtId="164" fontId="4" fillId="3" borderId="3" applyAlignment="1" pivotButton="0" quotePrefix="0" xfId="0">
      <alignment horizontal="center" vertical="center"/>
    </xf>
    <xf numFmtId="0" fontId="6" fillId="0" borderId="0" applyAlignment="1" pivotButton="0" quotePrefix="0" xfId="0">
      <alignment vertical="bottom"/>
    </xf>
    <xf numFmtId="0" fontId="14" fillId="0" borderId="0" applyAlignment="1" pivotButton="0" quotePrefix="0" xfId="0">
      <alignment vertical="bottom"/>
    </xf>
    <xf numFmtId="0" fontId="15" fillId="0" borderId="0" applyAlignment="1" pivotButton="0" quotePrefix="0" xfId="0">
      <alignment horizontal="left" vertical="center" wrapText="1"/>
    </xf>
    <xf numFmtId="0" fontId="15" fillId="0" borderId="0" applyAlignment="1" pivotButton="0" quotePrefix="0" xfId="0">
      <alignment horizontal="center" vertical="center" wrapText="1"/>
    </xf>
    <xf numFmtId="166" fontId="16" fillId="0" borderId="0" applyAlignment="1" pivotButton="0" quotePrefix="0" xfId="0">
      <alignment horizontal="center" vertical="center"/>
    </xf>
    <xf numFmtId="167" fontId="15" fillId="0" borderId="0" applyAlignment="1" pivotButton="0" quotePrefix="0" xfId="0">
      <alignment horizontal="center" vertical="center"/>
    </xf>
    <xf numFmtId="0" fontId="17" fillId="0" borderId="0" applyAlignment="1" pivotButton="0" quotePrefix="0" xfId="0">
      <alignment horizontal="center" vertical="center"/>
    </xf>
    <xf numFmtId="168" fontId="17" fillId="0" borderId="0" applyAlignment="1" pivotButton="0" quotePrefix="0" xfId="0">
      <alignment vertical="center"/>
    </xf>
    <xf numFmtId="166" fontId="17" fillId="0" borderId="0" applyAlignment="1" pivotButton="0" quotePrefix="0" xfId="0">
      <alignment vertical="center"/>
    </xf>
    <xf numFmtId="49" fontId="17" fillId="0" borderId="0" applyAlignment="1" pivotButton="0" quotePrefix="0" xfId="0">
      <alignment horizontal="center" vertical="center"/>
    </xf>
    <xf numFmtId="168" fontId="17" fillId="0" borderId="0" applyAlignment="1" pivotButton="0" quotePrefix="0" xfId="0">
      <alignment vertical="center"/>
    </xf>
    <xf numFmtId="49" fontId="17" fillId="0" borderId="0" applyAlignment="1" pivotButton="0" quotePrefix="0" xfId="0">
      <alignment horizontal="center" vertical="center"/>
    </xf>
    <xf numFmtId="0" fontId="17" fillId="0" borderId="0" applyAlignment="1" pivotButton="0" quotePrefix="0" xfId="0">
      <alignment horizontal="center" vertical="center"/>
    </xf>
    <xf numFmtId="49" fontId="17" fillId="0" borderId="0" applyAlignment="1" pivotButton="0" quotePrefix="0" xfId="0">
      <alignment vertical="center"/>
    </xf>
    <xf numFmtId="166" fontId="17" fillId="0" borderId="0" applyAlignment="1" pivotButton="0" quotePrefix="0" xfId="0">
      <alignment horizontal="center" vertical="center"/>
    </xf>
    <xf numFmtId="167" fontId="17" fillId="0" borderId="0" applyAlignment="1" pivotButton="0" quotePrefix="0" xfId="0">
      <alignment horizontal="center" vertical="center"/>
    </xf>
    <xf numFmtId="0" fontId="17" fillId="0" borderId="0" applyAlignment="1" pivotButton="0" quotePrefix="0" xfId="0">
      <alignment horizontal="center" vertical="center"/>
    </xf>
    <xf numFmtId="166" fontId="17" fillId="0" borderId="0" applyAlignment="1" pivotButton="0" quotePrefix="0" xfId="0">
      <alignment vertical="center"/>
    </xf>
    <xf numFmtId="0" fontId="15" fillId="4" borderId="0" pivotButton="0" quotePrefix="0" xfId="0"/>
    <xf numFmtId="0" fontId="15" fillId="0" borderId="0" applyAlignment="1" pivotButton="0" quotePrefix="0" xfId="0">
      <alignment horizontal="center" vertical="center"/>
    </xf>
    <xf numFmtId="168" fontId="15" fillId="0" borderId="0" applyAlignment="1" pivotButton="0" quotePrefix="0" xfId="0">
      <alignment vertical="center"/>
    </xf>
    <xf numFmtId="166" fontId="15" fillId="0" borderId="0" applyAlignment="1" pivotButton="0" quotePrefix="0" xfId="0">
      <alignment vertical="center"/>
    </xf>
    <xf numFmtId="166" fontId="15" fillId="0" borderId="0" applyAlignment="1" pivotButton="0" quotePrefix="0" xfId="0">
      <alignment vertical="center"/>
    </xf>
    <xf numFmtId="49" fontId="15" fillId="0" borderId="0" applyAlignment="1" pivotButton="0" quotePrefix="0" xfId="0">
      <alignment horizontal="center" vertical="center"/>
    </xf>
    <xf numFmtId="168" fontId="15" fillId="0" borderId="0" applyAlignment="1" pivotButton="0" quotePrefix="0" xfId="0">
      <alignment vertical="center"/>
    </xf>
    <xf numFmtId="49" fontId="15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horizontal="center" vertical="center"/>
    </xf>
    <xf numFmtId="49" fontId="15" fillId="0" borderId="0" applyAlignment="1" pivotButton="0" quotePrefix="0" xfId="0">
      <alignment vertical="center"/>
    </xf>
    <xf numFmtId="166" fontId="16" fillId="4" borderId="0" applyAlignment="1" pivotButton="0" quotePrefix="0" xfId="0">
      <alignment horizontal="center" vertical="center"/>
    </xf>
    <xf numFmtId="167" fontId="16" fillId="4" borderId="0" applyAlignment="1" pivotButton="0" quotePrefix="0" xfId="0">
      <alignment horizontal="center" vertical="center"/>
    </xf>
    <xf numFmtId="0" fontId="15" fillId="4" borderId="0" applyAlignment="1" pivotButton="0" quotePrefix="0" xfId="0">
      <alignment horizontal="center" vertical="center"/>
    </xf>
    <xf numFmtId="0" fontId="16" fillId="4" borderId="0" applyAlignment="1" pivotButton="0" quotePrefix="0" xfId="0">
      <alignment horizontal="center" vertical="center"/>
    </xf>
    <xf numFmtId="168" fontId="16" fillId="4" borderId="0" applyAlignment="1" pivotButton="0" quotePrefix="0" xfId="0">
      <alignment vertical="center"/>
    </xf>
    <xf numFmtId="166" fontId="16" fillId="4" borderId="0" applyAlignment="1" pivotButton="0" quotePrefix="0" xfId="0">
      <alignment vertical="center"/>
    </xf>
    <xf numFmtId="49" fontId="16" fillId="4" borderId="0" applyAlignment="1" pivotButton="0" quotePrefix="0" xfId="0">
      <alignment horizontal="center" vertical="center"/>
    </xf>
    <xf numFmtId="0" fontId="18" fillId="4" borderId="0" applyAlignment="1" pivotButton="0" quotePrefix="0" xfId="0">
      <alignment horizontal="center" vertical="center"/>
    </xf>
    <xf numFmtId="0" fontId="15" fillId="4" borderId="0" applyAlignment="1" pivotButton="0" quotePrefix="0" xfId="0">
      <alignment horizontal="center" vertical="center"/>
    </xf>
    <xf numFmtId="49" fontId="15" fillId="4" borderId="0" applyAlignment="1" pivotButton="0" quotePrefix="0" xfId="0">
      <alignment vertical="center"/>
    </xf>
    <xf numFmtId="0" fontId="17" fillId="4" borderId="0" applyAlignment="1" pivotButton="0" quotePrefix="0" xfId="0">
      <alignment horizontal="center" vertical="center"/>
    </xf>
    <xf numFmtId="49" fontId="15" fillId="4" borderId="0" applyAlignment="1" pivotButton="0" quotePrefix="0" xfId="0">
      <alignment horizontal="center" vertical="center"/>
    </xf>
    <xf numFmtId="168" fontId="16" fillId="4" borderId="0" applyAlignment="1" pivotButton="0" quotePrefix="0" xfId="0">
      <alignment vertical="center"/>
    </xf>
    <xf numFmtId="0" fontId="19" fillId="4" borderId="0" applyAlignment="1" pivotButton="0" quotePrefix="0" xfId="0">
      <alignment horizontal="center" vertical="center"/>
    </xf>
    <xf numFmtId="0" fontId="17" fillId="4" borderId="0" applyAlignment="1" pivotButton="0" quotePrefix="0" xfId="0">
      <alignment horizontal="center" vertical="center"/>
    </xf>
    <xf numFmtId="49" fontId="17" fillId="4" borderId="0" applyAlignment="1" pivotButton="0" quotePrefix="0" xfId="0">
      <alignment vertical="center"/>
    </xf>
    <xf numFmtId="0" fontId="17" fillId="0" borderId="0" pivotButton="0" quotePrefix="0" xfId="0"/>
    <xf numFmtId="166" fontId="15" fillId="0" borderId="0" applyAlignment="1" pivotButton="0" quotePrefix="0" xfId="0">
      <alignment horizontal="center" vertical="center"/>
    </xf>
    <xf numFmtId="0" fontId="17" fillId="4" borderId="0" pivotButton="0" quotePrefix="0" xfId="0"/>
    <xf numFmtId="49" fontId="16" fillId="4" borderId="0" applyAlignment="1" pivotButton="0" quotePrefix="0" xfId="0">
      <alignment vertical="center"/>
    </xf>
    <xf numFmtId="166" fontId="15" fillId="4" borderId="0" applyAlignment="1" pivotButton="0" quotePrefix="0" xfId="0">
      <alignment horizontal="center" vertical="center"/>
    </xf>
    <xf numFmtId="167" fontId="15" fillId="4" borderId="0" applyAlignment="1" pivotButton="0" quotePrefix="0" xfId="0">
      <alignment horizontal="center" vertical="center"/>
    </xf>
    <xf numFmtId="168" fontId="15" fillId="4" borderId="0" applyAlignment="1" pivotButton="0" quotePrefix="0" xfId="0">
      <alignment vertical="center"/>
    </xf>
    <xf numFmtId="166" fontId="15" fillId="4" borderId="0" applyAlignment="1" pivotButton="0" quotePrefix="0" xfId="0">
      <alignment vertical="center"/>
    </xf>
    <xf numFmtId="0" fontId="20" fillId="0" borderId="0" applyAlignment="1" pivotButton="0" quotePrefix="0" xfId="0">
      <alignment horizontal="center" vertical="bottom"/>
    </xf>
    <xf numFmtId="0" fontId="21" fillId="0" borderId="0" applyAlignment="1" pivotButton="0" quotePrefix="0" xfId="0">
      <alignment vertical="bottom"/>
    </xf>
    <xf numFmtId="0" fontId="22" fillId="0" borderId="0" applyAlignment="1" pivotButton="0" quotePrefix="0" xfId="0">
      <alignment vertical="bottom"/>
    </xf>
    <xf numFmtId="0" fontId="23" fillId="5" borderId="14" applyAlignment="1" pivotButton="0" quotePrefix="0" xfId="0">
      <alignment horizontal="center"/>
    </xf>
    <xf numFmtId="0" fontId="23" fillId="5" borderId="14" applyAlignment="1" pivotButton="0" quotePrefix="0" xfId="0">
      <alignment horizontal="center"/>
    </xf>
    <xf numFmtId="0" fontId="24" fillId="0" borderId="14" applyAlignment="1" pivotButton="0" quotePrefix="0" xfId="0">
      <alignment horizontal="center" vertical="bottom"/>
    </xf>
    <xf numFmtId="169" fontId="21" fillId="0" borderId="14" applyAlignment="1" pivotButton="0" quotePrefix="0" xfId="0">
      <alignment horizontal="right" vertical="bottom"/>
    </xf>
    <xf numFmtId="0" fontId="23" fillId="6" borderId="14" applyAlignment="1" pivotButton="0" quotePrefix="0" xfId="0">
      <alignment vertical="bottom"/>
    </xf>
    <xf numFmtId="169" fontId="23" fillId="6" borderId="14" applyAlignment="1" pivotButton="0" quotePrefix="0" xfId="0">
      <alignment horizontal="right" vertical="bottom"/>
    </xf>
    <xf numFmtId="0" fontId="25" fillId="7" borderId="14" applyAlignment="1" pivotButton="0" quotePrefix="0" xfId="0">
      <alignment vertical="bottom"/>
    </xf>
    <xf numFmtId="169" fontId="25" fillId="7" borderId="14" applyAlignment="1" pivotButton="0" quotePrefix="0" xfId="0">
      <alignment horizontal="right" vertical="bottom"/>
    </xf>
    <xf numFmtId="0" fontId="26" fillId="0" borderId="0" applyAlignment="1" pivotButton="0" quotePrefix="0" xfId="0">
      <alignment vertical="bottom"/>
    </xf>
    <xf numFmtId="0" fontId="23" fillId="8" borderId="14" applyAlignment="1" pivotButton="0" quotePrefix="0" xfId="0">
      <alignment vertical="bottom"/>
    </xf>
    <xf numFmtId="0" fontId="23" fillId="8" borderId="14" applyAlignment="1" pivotButton="0" quotePrefix="0" xfId="0">
      <alignment vertical="bottom"/>
    </xf>
    <xf numFmtId="0" fontId="21" fillId="0" borderId="14" applyAlignment="1" pivotButton="0" quotePrefix="0" xfId="0">
      <alignment vertical="bottom"/>
    </xf>
    <xf numFmtId="170" fontId="21" fillId="0" borderId="14" applyAlignment="1" pivotButton="0" quotePrefix="0" xfId="0">
      <alignment horizontal="right" vertical="bottom"/>
    </xf>
    <xf numFmtId="0" fontId="21" fillId="0" borderId="14" applyAlignment="1" pivotButton="0" quotePrefix="0" xfId="0">
      <alignment vertical="bottom"/>
    </xf>
    <xf numFmtId="0" fontId="23" fillId="5" borderId="14" applyAlignment="1" pivotButton="0" quotePrefix="0" xfId="0">
      <alignment horizontal="center" vertical="bottom"/>
    </xf>
    <xf numFmtId="0" fontId="23" fillId="5" borderId="0" applyAlignment="1" pivotButton="0" quotePrefix="0" xfId="0">
      <alignment horizontal="center" vertical="bottom"/>
    </xf>
    <xf numFmtId="0" fontId="25" fillId="0" borderId="14" applyAlignment="1" pivotButton="0" quotePrefix="0" xfId="0">
      <alignment vertical="bottom"/>
    </xf>
    <xf numFmtId="0" fontId="21" fillId="0" borderId="14" applyAlignment="1" pivotButton="0" quotePrefix="0" xfId="0">
      <alignment vertical="bottom"/>
    </xf>
    <xf numFmtId="0" fontId="21" fillId="0" borderId="14" applyAlignment="1" pivotButton="0" quotePrefix="0" xfId="0">
      <alignment vertical="bottom"/>
    </xf>
    <xf numFmtId="0" fontId="21" fillId="0" borderId="0" applyAlignment="1" pivotButton="0" quotePrefix="0" xfId="0">
      <alignment vertical="bottom"/>
    </xf>
    <xf numFmtId="0" fontId="21" fillId="0" borderId="0" applyAlignment="1" pivotButton="0" quotePrefix="0" xfId="0">
      <alignment vertical="bottom"/>
    </xf>
    <xf numFmtId="0" fontId="15" fillId="0" borderId="0" pivotButton="0" quotePrefix="0" xfId="0"/>
    <xf numFmtId="0" fontId="27" fillId="0" borderId="0" pivotButton="0" quotePrefix="0" xfId="0"/>
    <xf numFmtId="171" fontId="24" fillId="0" borderId="14" applyAlignment="1" pivotButton="0" quotePrefix="0" xfId="0">
      <alignment horizontal="center" vertical="bottom"/>
    </xf>
    <xf numFmtId="169" fontId="21" fillId="0" borderId="14" applyAlignment="1" pivotButton="0" quotePrefix="0" xfId="0">
      <alignment horizontal="right" vertical="bottom"/>
    </xf>
    <xf numFmtId="0" fontId="0" fillId="0" borderId="0" pivotButton="0" quotePrefix="0" xfId="0"/>
    <xf numFmtId="49" fontId="28" fillId="0" borderId="4" applyAlignment="1" pivotButton="0" quotePrefix="0" xfId="0">
      <alignment horizontal="center"/>
    </xf>
    <xf numFmtId="164" fontId="28" fillId="0" borderId="10" applyAlignment="1" pivotButton="0" quotePrefix="0" xfId="0">
      <alignment horizontal="center"/>
    </xf>
    <xf numFmtId="164" fontId="28" fillId="0" borderId="12" applyAlignment="1" pivotButton="0" quotePrefix="0" xfId="0">
      <alignment horizontal="center"/>
    </xf>
    <xf numFmtId="164" fontId="28" fillId="0" borderId="11" applyAlignment="1" pivotButton="0" quotePrefix="0" xfId="0">
      <alignment horizontal="center"/>
    </xf>
    <xf numFmtId="164" fontId="28" fillId="0" borderId="0" applyAlignment="1" pivotButton="0" quotePrefix="0" xfId="0">
      <alignment horizontal="center"/>
    </xf>
    <xf numFmtId="164" fontId="28" fillId="0" borderId="2" applyAlignment="1" pivotButton="0" quotePrefix="0" xfId="0">
      <alignment horizontal="center"/>
    </xf>
  </cellXfs>
  <cellStyles count="1">
    <cellStyle name="Normal" xfId="0" builtinId="0"/>
  </cellStyles>
  <dxfs count="12">
    <dxf>
      <font/>
      <fill>
        <patternFill patternType="solid">
          <fgColor rgb="FFB6D7A8"/>
          <bgColor rgb="FFB6D7A8"/>
        </patternFill>
      </fill>
      <border/>
    </dxf>
    <dxf>
      <font/>
      <fill>
        <patternFill patternType="solid">
          <fgColor rgb="FFD9EAD3"/>
          <bgColor rgb="FFD9EAD3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  <dxf>
      <font/>
      <fill>
        <patternFill/>
      </fill>
      <border/>
    </dxf>
    <dxf>
      <font/>
      <fill>
        <patternFill patternType="solid">
          <fgColor rgb="FF49564C"/>
          <bgColor rgb="FF49564C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49564C"/>
        </left>
        <right style="thin">
          <color rgb="FF49564C"/>
        </right>
        <top style="thin">
          <color rgb="FF49564C"/>
        </top>
        <bottom style="thin">
          <color rgb="FF49564C"/>
        </bottom>
      </border>
    </dxf>
    <dxf>
      <font>
        <color rgb="FF38761D"/>
      </font>
      <fill>
        <patternFill/>
      </fill>
      <border/>
    </dxf>
    <dxf>
      <font>
        <color rgb="FFFF0000"/>
      </font>
      <fill>
        <patternFill patternType="solid">
          <fgColor rgb="FFFFFFFF"/>
          <bgColor rgb="FFFFFFFF"/>
        </patternFill>
      </fill>
      <border/>
    </dxf>
  </dxfs>
  <tableStyles count="1" defaultTableStyle="TableStyleMedium9" defaultPivotStyle="PivotStyleLight16">
    <tableStyle name="💸 Pay Tracker-style" pivot="0" count="4">
      <tableStyleElement type="headerRow" dxfId="6"/>
      <tableStyleElement type="firstRowStripe" dxfId="7"/>
      <tableStyleElement type="secondRowStripe" dxfId="8"/>
      <tableStyleElement type="wholeTable" size="0" dxfId="9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None</author>
  </authors>
  <commentList>
    <comment ref="A4" authorId="0" shapeId="0">
      <text>
        <t>All YT $ is according to YT Studio dashboard, not Culture Genesis earnings reports. The difference between these two is typically &lt;$1 (so you may notice different #s)</t>
      </text>
    </comment>
    <comment ref="A9" authorId="0" shapeId="0">
      <text>
        <t>AI-powered YouTube back catalog optimization. Uptides.ai automatically analyzes and optimizes YouTube titles and thumbnails to increase views, watch time, and revenue.
We only pay a share (30%) of the extra revenue Uptides helps generate. Extra rev is added/paid through YouTube AdSense (directly to RTS LLC).
STARTED: FEB 2026</t>
      </text>
    </comment>
    <comment ref="C10" authorId="0" shapeId="0">
      <text>
        <t>Estimated by Acast. Exact payout 1-2 months behind</t>
      </text>
    </comment>
    <comment ref="D10" authorId="0" shapeId="0">
      <text>
        <t>Estimated by Acast. Exact payout 1-2 months behind</t>
      </text>
    </comment>
    <comment ref="E10" authorId="0" shapeId="0">
      <text>
        <t>Estimated by Acast. Exact payout 1-2 months behind</t>
      </text>
    </comment>
    <comment ref="F10" authorId="0" shapeId="0">
      <text>
        <t>Estimated by Acast. Exact payout 1-2 months behind</t>
      </text>
    </comment>
    <comment ref="G10" authorId="0" shapeId="0">
      <text>
        <t>Estimated by Acast. Exact payout 1-2 months behind</t>
      </text>
    </comment>
    <comment ref="H10" authorId="0" shapeId="0">
      <text>
        <t>Estimated by Acast. Exact payout 1-2 months behind</t>
      </text>
    </comment>
    <comment ref="B11" authorId="0" shapeId="0">
      <text>
        <t>Meta/Threads payment from 12/14/25 Vegas episode</t>
      </text>
    </comment>
  </commentList>
</comments>
</file>

<file path=xl/comments/comment2.xml><?xml version="1.0" encoding="utf-8"?>
<comments xmlns="http://schemas.openxmlformats.org/spreadsheetml/2006/main">
  <authors>
    <author>None</author>
  </authors>
  <commentList>
    <comment ref="I1" authorId="0" shapeId="0">
      <text>
        <t>Days from completion to payment (net-?)</t>
      </text>
    </comment>
    <comment ref="J1" authorId="0" shapeId="0">
      <text>
        <t>Difference between early estimated # and actual</t>
      </text>
    </comment>
    <comment ref="N1" authorId="0" shapeId="0">
      <text>
        <t>Q1 - OCT-DEC
Q2 - JAN-MAR
Q3 - APR-JUN
Q4 - JUL-SEP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drawing1.xml><?xml version="1.0" encoding="utf-8"?>
<wsDr xmlns="http://schemas.openxmlformats.org/drawingml/2006/spreadsheetDrawing">
  <oneCellAnchor>
    <from>
      <col>0</col>
      <colOff>114300</colOff>
      <row>52</row>
      <rowOff>133350</rowOff>
    </from>
    <ext cx="8782050" cy="3467100"/>
    <pic>
      <nvPicPr>
        <cNvPr id="1481177926" name="Chart1" title="Chart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0</col>
      <colOff>114300</colOff>
      <row>15</row>
      <rowOff>0</rowOff>
    </from>
    <ext cx="8782050" cy="3467100"/>
    <pic>
      <nvPicPr>
        <cNvPr id="782744577" name="Chart2" title="Chart"/>
        <cNvPicPr preferRelativeResize="0"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0</col>
      <colOff>114300</colOff>
      <row>33</row>
      <rowOff>161925</rowOff>
    </from>
    <ext cx="8782050" cy="3467100"/>
    <pic>
      <nvPicPr>
        <cNvPr id="1794465705" name="Chart3" title="Chart"/>
        <cNvPicPr preferRelativeResize="0"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0</col>
      <colOff>66675</colOff>
      <row>0</row>
      <rowOff>76200</rowOff>
    </from>
    <ext cx="838200" cy="561975"/>
    <pic>
      <nvPicPr>
        <cNvPr id="0" name="image1.png" title="Image"/>
        <cNvPicPr preferRelativeResize="0"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tables/table1.xml><?xml version="1.0" encoding="utf-8"?>
<table xmlns="http://schemas.openxmlformats.org/spreadsheetml/2006/main" id="1" name="Payment_Tracker" displayName="Payment_Tracker" ref="A1:O24" headerRowCount="1">
  <tableColumns count="15">
    <tableColumn id="1" name="Completion Date"/>
    <tableColumn id="2" name="Period"/>
    <tableColumn id="3" name="Source"/>
    <tableColumn id="4" name="Type"/>
    <tableColumn id="5" name="Expected Amount"/>
    <tableColumn id="6" name="Expected Pay Date"/>
    <tableColumn id="7" name="Amount"/>
    <tableColumn id="8" name="Pay Date"/>
    <tableColumn id="9" name="Pay Time"/>
    <tableColumn id="10" name="Variance Amount"/>
    <tableColumn id="11" name="Report"/>
    <tableColumn id="12" name="RTS Status"/>
    <tableColumn id="13" name="RDM Status"/>
    <tableColumn id="14" name="Quarter"/>
    <tableColumn id="15" name="Notes"/>
  </tableColumns>
  <tableStyleInfo name="💸 Pay Tracker-style" showFirstColumn="1" showLastColumn="1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hyperlink" Target="https://drive.google.com/open?id=15reX6puCowSRkd_VioIPPzWKLvWDzqzn" TargetMode="External" Id="rId1"/><Relationship Type="http://schemas.openxmlformats.org/officeDocument/2006/relationships/hyperlink" Target="https://drive.google.com/open?id=1VnVSFPB4YENKQF6FD8lL1vdi1Roew7cc" TargetMode="External" Id="rId2"/><Relationship Type="http://schemas.openxmlformats.org/officeDocument/2006/relationships/hyperlink" Target="https://drive.google.com/open?id=1hnjADx_CpXy5Z3NPbMhSYF_7gB_EBFcf" TargetMode="External" Id="rId3"/><Relationship Type="http://schemas.openxmlformats.org/officeDocument/2006/relationships/hyperlink" Target="https://drive.google.com/open?id=1l9l2SRYQAGcBGS7ZiRZaBCA56aOpo6cV" TargetMode="External" Id="rId4"/><Relationship Type="http://schemas.openxmlformats.org/officeDocument/2006/relationships/hyperlink" Target="https://drive.google.com/open?id=1F0EYKZrz3-QdPcwod90JS19VSXIVj2-j" TargetMode="External" Id="rId5"/><Relationship Type="http://schemas.openxmlformats.org/officeDocument/2006/relationships/hyperlink" Target="https://drive.google.com/open?id=1K6RaISGloWsa8Ce6cutJWdw-YjUXthXI" TargetMode="External" Id="rId6"/><Relationship Type="http://schemas.openxmlformats.org/officeDocument/2006/relationships/hyperlink" Target="https://drive.google.com/open?id=17ouLj3T2aIRCFavGX2JA4BgQ_aLcBqxM" TargetMode="External" Id="rId7"/><Relationship Type="http://schemas.openxmlformats.org/officeDocument/2006/relationships/hyperlink" Target="https://drive.google.com/open?id=1SuKf93wN5U58tCUr1Dwdh2dfNK084rTv" TargetMode="External" Id="rId8"/><Relationship Type="http://schemas.openxmlformats.org/officeDocument/2006/relationships/hyperlink" Target="https://drive.google.com/open?id=1flr189AoxiW-RWWMt2H4vugqzEpYBYkl" TargetMode="External" Id="rId9"/><Relationship Type="http://schemas.openxmlformats.org/officeDocument/2006/relationships/hyperlink" Target="https://drive.google.com/open?id=1c_UhhP6LJZOtC2US-I96k3vZbirKsAtr" TargetMode="External" Id="rId10"/><Relationship Type="http://schemas.openxmlformats.org/officeDocument/2006/relationships/hyperlink" Target="https://drive.google.com/open?id=1Hn9TBPYBPfmIRvegXlR2d8ZIeNjrLZUC" TargetMode="External" Id="rId11"/><Relationship Type="http://schemas.openxmlformats.org/officeDocument/2006/relationships/hyperlink" Target="https://drive.google.com/open?id=11Md3bEx8JWv0QW6gUh-7tWmUpPdiTKvQ" TargetMode="External" Id="rId12"/><Relationship Type="http://schemas.openxmlformats.org/officeDocument/2006/relationships/table" Target="/xl/tables/table1.xml" Id="rId13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tabColor rgb="FFFFFF00"/>
    <outlinePr summaryBelow="0" summaryRight="0"/>
    <pageSetUpPr/>
  </sheetPr>
  <dimension ref="A1:AN77"/>
  <sheetViews>
    <sheetView workbookViewId="0">
      <selection activeCell="A1" sqref="A1"/>
    </sheetView>
  </sheetViews>
  <sheetFormatPr baseColWidth="8" defaultColWidth="14.43" defaultRowHeight="15" customHeight="1"/>
  <cols>
    <col width="15" customWidth="1" style="136" min="1" max="1"/>
    <col width="11" customWidth="1" style="136" min="2" max="2"/>
    <col width="10" customWidth="1" style="136" min="3" max="10"/>
    <col width="9.140000000000001" customWidth="1" style="136" min="11" max="11"/>
    <col width="9" customWidth="1" style="136" min="12" max="12"/>
    <col width="9.289999999999999" customWidth="1" style="136" min="13" max="13"/>
    <col width="9" customWidth="1" style="136" min="14" max="14"/>
    <col width="9.57" customWidth="1" style="136" min="15" max="15"/>
    <col width="10.29" customWidth="1" style="136" min="16" max="16"/>
    <col width="10.43" customWidth="1" style="136" min="17" max="18"/>
    <col width="10.71" customWidth="1" style="136" min="19" max="19"/>
    <col width="10.29" customWidth="1" style="136" min="20" max="20"/>
    <col width="11.14" customWidth="1" style="136" min="21" max="21"/>
    <col width="11.29" customWidth="1" style="136" min="22" max="22"/>
    <col width="4" customWidth="1" style="136" min="23" max="23"/>
    <col width="12.29" customWidth="1" style="136" min="24" max="39"/>
  </cols>
  <sheetData>
    <row r="1">
      <c r="A1" s="1" t="n"/>
      <c r="B1" s="2" t="n"/>
      <c r="C1" s="2" t="n"/>
      <c r="D1" s="3" t="inlineStr">
        <is>
          <t>💲REVENUE OVERVIEW &amp; TRENDS</t>
        </is>
      </c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5" t="n"/>
      <c r="O1" s="5" t="n"/>
      <c r="P1" s="4" t="n"/>
      <c r="Q1" s="5" t="n"/>
      <c r="R1" s="5" t="n"/>
      <c r="S1" s="4" t="n"/>
      <c r="T1" s="5" t="n"/>
      <c r="U1" s="5" t="n"/>
      <c r="V1" s="5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  <c r="AK1" s="6" t="n"/>
      <c r="AL1" s="6" t="n"/>
      <c r="AM1" s="6" t="n"/>
      <c r="AN1" s="6" t="n"/>
    </row>
    <row r="2">
      <c r="A2" s="1" t="n"/>
      <c r="B2" s="7" t="inlineStr">
        <is>
          <t>PAST 90 DAYS</t>
        </is>
      </c>
      <c r="C2" s="7" t="n"/>
      <c r="D2" s="8" t="n"/>
      <c r="E2" s="7" t="inlineStr">
        <is>
          <t>PAST 6 MONTHS</t>
        </is>
      </c>
      <c r="F2" s="10" t="n"/>
      <c r="G2" s="8" t="n"/>
      <c r="H2" s="7" t="inlineStr">
        <is>
          <t>PAST 12 MONTHS</t>
        </is>
      </c>
      <c r="I2" s="10" t="n"/>
      <c r="J2" s="8" t="n"/>
      <c r="K2" s="9" t="n"/>
      <c r="L2" s="9" t="n"/>
      <c r="M2" s="9" t="n"/>
      <c r="N2" s="7" t="inlineStr">
        <is>
          <t>&gt; 12 MONTHS</t>
        </is>
      </c>
      <c r="O2" s="10" t="n"/>
      <c r="P2" s="9" t="n"/>
      <c r="Q2" s="10" t="n"/>
      <c r="R2" s="10" t="n"/>
      <c r="S2" s="10" t="n"/>
      <c r="T2" s="10" t="n"/>
      <c r="U2" s="9" t="n"/>
      <c r="V2" s="10" t="n"/>
      <c r="W2" s="11" t="n"/>
      <c r="X2" s="12" t="n"/>
      <c r="Y2" s="11" t="n"/>
      <c r="Z2" s="11" t="n"/>
      <c r="AA2" s="11" t="n"/>
      <c r="AB2" s="11" t="n"/>
      <c r="AC2" s="11" t="n"/>
      <c r="AD2" s="11" t="n"/>
      <c r="AE2" s="11" t="n"/>
      <c r="AF2" s="11" t="n"/>
      <c r="AG2" s="11" t="n"/>
      <c r="AH2" s="11" t="n"/>
      <c r="AI2" s="11" t="n"/>
      <c r="AJ2" s="11" t="n"/>
      <c r="AK2" s="11" t="n"/>
      <c r="AL2" s="11" t="n"/>
      <c r="AM2" s="11" t="n"/>
      <c r="AN2" s="11" t="n"/>
    </row>
    <row r="3">
      <c r="A3" s="13" t="n"/>
      <c r="B3" s="137" t="inlineStr">
        <is>
          <t>MAR</t>
        </is>
      </c>
      <c r="C3" s="14" t="inlineStr">
        <is>
          <t>FEB 26</t>
        </is>
      </c>
      <c r="D3" s="14" t="inlineStr">
        <is>
          <t>JAN 26</t>
        </is>
      </c>
      <c r="E3" s="14" t="inlineStr">
        <is>
          <t>DEC 25</t>
        </is>
      </c>
      <c r="F3" s="14" t="inlineStr">
        <is>
          <t>NOV 25</t>
        </is>
      </c>
      <c r="G3" s="14" t="inlineStr">
        <is>
          <t>OCT 25</t>
        </is>
      </c>
      <c r="H3" s="14" t="inlineStr">
        <is>
          <t>SEP 25</t>
        </is>
      </c>
      <c r="I3" s="14" t="inlineStr">
        <is>
          <t>AUG 25</t>
        </is>
      </c>
      <c r="J3" s="14" t="inlineStr">
        <is>
          <t>JUL 25</t>
        </is>
      </c>
      <c r="K3" s="14" t="inlineStr">
        <is>
          <t>JUN 25</t>
        </is>
      </c>
      <c r="L3" s="15" t="inlineStr">
        <is>
          <t>MAY 25</t>
        </is>
      </c>
      <c r="M3" s="15" t="inlineStr">
        <is>
          <t>APR 25</t>
        </is>
      </c>
      <c r="N3" s="16" t="inlineStr">
        <is>
          <t>MAR 25</t>
        </is>
      </c>
      <c r="O3" s="17" t="inlineStr">
        <is>
          <t>FEB 25</t>
        </is>
      </c>
      <c r="P3" s="17" t="inlineStr">
        <is>
          <t>JAN 25</t>
        </is>
      </c>
      <c r="Q3" s="16" t="inlineStr">
        <is>
          <t>DEC 24</t>
        </is>
      </c>
      <c r="R3" s="17" t="inlineStr">
        <is>
          <t>NOV 24</t>
        </is>
      </c>
      <c r="S3" s="18" t="inlineStr">
        <is>
          <t>OCT 24</t>
        </is>
      </c>
      <c r="T3" s="17" t="inlineStr">
        <is>
          <t>SEP 24</t>
        </is>
      </c>
      <c r="U3" s="16" t="inlineStr">
        <is>
          <t>AUG 24</t>
        </is>
      </c>
      <c r="V3" s="17" t="inlineStr">
        <is>
          <t>JUL 24</t>
        </is>
      </c>
      <c r="W3" s="16" t="inlineStr">
        <is>
          <t>JUN 24</t>
        </is>
      </c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</row>
    <row r="4">
      <c r="A4" s="20" t="inlineStr">
        <is>
          <t>VIDEO</t>
        </is>
      </c>
      <c r="B4" s="21" t="n"/>
      <c r="C4" s="21" t="n"/>
      <c r="D4" s="21" t="n"/>
      <c r="E4" s="21" t="n"/>
      <c r="F4" s="21" t="n"/>
      <c r="G4" s="21" t="n"/>
      <c r="H4" s="21" t="n"/>
      <c r="I4" s="21" t="n"/>
      <c r="J4" s="21" t="n"/>
      <c r="K4" s="21" t="n"/>
      <c r="L4" s="21" t="n"/>
      <c r="M4" s="21" t="n"/>
      <c r="N4" s="37" t="n"/>
      <c r="O4" s="23" t="n"/>
      <c r="P4" s="23" t="n"/>
      <c r="Q4" s="37" t="n"/>
      <c r="R4" s="23" t="n"/>
      <c r="S4" s="23" t="n"/>
      <c r="T4" s="24" t="n"/>
      <c r="U4" s="23" t="n"/>
      <c r="V4" s="23" t="n"/>
      <c r="W4" s="37" t="n"/>
      <c r="X4" s="12" t="n"/>
      <c r="Y4" s="12" t="n"/>
      <c r="Z4" s="12" t="n"/>
      <c r="AA4" s="12" t="n"/>
      <c r="AB4" s="12" t="n"/>
      <c r="AC4" s="12" t="n"/>
      <c r="AD4" s="12" t="n"/>
      <c r="AE4" s="12" t="n"/>
      <c r="AF4" s="12" t="n"/>
      <c r="AG4" s="12" t="n"/>
      <c r="AH4" s="12" t="n"/>
      <c r="AI4" s="12" t="n"/>
      <c r="AJ4" s="12" t="n"/>
      <c r="AK4" s="12" t="n"/>
      <c r="AL4" s="12" t="n"/>
      <c r="AM4" s="12" t="n"/>
      <c r="AN4" s="12" t="n"/>
    </row>
    <row r="5">
      <c r="A5" s="25" t="inlineStr">
        <is>
          <t>YT VIDEOS</t>
        </is>
      </c>
      <c r="B5" s="138" t="n">
        <v>1</v>
      </c>
      <c r="C5" s="26" t="n">
        <v>3528.49</v>
      </c>
      <c r="D5" s="27" t="n">
        <v>4193.08</v>
      </c>
      <c r="E5" s="27" t="n">
        <v>14418.95</v>
      </c>
      <c r="F5" s="27" t="n">
        <v>7986.27</v>
      </c>
      <c r="G5" s="27" t="n">
        <v>4882.45</v>
      </c>
      <c r="H5" s="27" t="n">
        <v>2508.56</v>
      </c>
      <c r="I5" s="27" t="n">
        <v>5206.7</v>
      </c>
      <c r="J5" s="27" t="n">
        <v>7649.82</v>
      </c>
      <c r="K5" s="27" t="n">
        <v>3012.39</v>
      </c>
      <c r="L5" s="27" t="n">
        <v>3811.41</v>
      </c>
      <c r="M5" s="27" t="n">
        <v>784.3099999999999</v>
      </c>
      <c r="N5" s="35" t="n">
        <v>2319.51</v>
      </c>
      <c r="O5" s="35" t="n">
        <v>155.61</v>
      </c>
      <c r="P5" s="35" t="n">
        <v>105.36</v>
      </c>
      <c r="Q5" s="35" t="n">
        <v>98.28</v>
      </c>
      <c r="R5" s="35" t="n">
        <v>228.9</v>
      </c>
      <c r="S5" s="35" t="n">
        <v>200.99</v>
      </c>
      <c r="T5" s="29" t="n">
        <v>310.61</v>
      </c>
      <c r="U5" s="35" t="n">
        <v>2135.04</v>
      </c>
      <c r="V5" s="35" t="n">
        <v>1745.68</v>
      </c>
      <c r="W5" s="35" t="n">
        <v>2662.66</v>
      </c>
      <c r="X5" s="12" t="n"/>
      <c r="Y5" s="12" t="n"/>
      <c r="Z5" s="12" t="n"/>
      <c r="AA5" s="12" t="n"/>
      <c r="AB5" s="12" t="n"/>
      <c r="AC5" s="12" t="n"/>
      <c r="AD5" s="12" t="n"/>
      <c r="AE5" s="12" t="n"/>
      <c r="AF5" s="12" t="n"/>
      <c r="AG5" s="12" t="n"/>
      <c r="AH5" s="12" t="n"/>
      <c r="AI5" s="12" t="n"/>
      <c r="AJ5" s="12" t="n"/>
      <c r="AK5" s="12" t="n"/>
      <c r="AL5" s="12" t="n"/>
      <c r="AM5" s="12" t="n"/>
      <c r="AN5" s="12" t="n"/>
    </row>
    <row r="6" ht="21" customHeight="1" s="136">
      <c r="A6" s="30" t="inlineStr">
        <is>
          <t>YT SHORTS</t>
        </is>
      </c>
      <c r="B6" s="138" t="n">
        <v>1</v>
      </c>
      <c r="C6" s="26" t="n">
        <v>284.47</v>
      </c>
      <c r="D6" s="27" t="n">
        <v>182.65</v>
      </c>
      <c r="E6" s="27" t="n">
        <v>277.36</v>
      </c>
      <c r="F6" s="27" t="n">
        <v>234.24</v>
      </c>
      <c r="G6" s="27" t="n">
        <v>108.64</v>
      </c>
      <c r="H6" s="27" t="n">
        <v>81.51000000000001</v>
      </c>
      <c r="I6" s="27" t="n">
        <v>236.08</v>
      </c>
      <c r="J6" s="27" t="n">
        <v>243.56</v>
      </c>
      <c r="K6" s="27" t="n">
        <v>75.31999999999999</v>
      </c>
      <c r="L6" s="27" t="n">
        <v>18.7</v>
      </c>
      <c r="M6" s="27" t="n">
        <v>12.98</v>
      </c>
      <c r="N6" s="35" t="n">
        <v>20.86</v>
      </c>
      <c r="O6" s="35" t="n">
        <v>10.68</v>
      </c>
      <c r="P6" s="35" t="n">
        <v>6.18</v>
      </c>
      <c r="Q6" s="35" t="n">
        <v>5.42</v>
      </c>
      <c r="R6" s="35" t="n">
        <v>3.96</v>
      </c>
      <c r="S6" s="35" t="n">
        <v>2.18</v>
      </c>
      <c r="T6" s="35" t="n">
        <v>2.09</v>
      </c>
      <c r="U6" s="35" t="n">
        <v>5.11</v>
      </c>
      <c r="V6" s="35" t="n">
        <v>2.73</v>
      </c>
      <c r="W6" s="35" t="n">
        <v>9.279999999999999</v>
      </c>
      <c r="X6" s="12" t="n"/>
      <c r="Y6" s="12" t="n"/>
      <c r="Z6" s="12" t="n"/>
      <c r="AA6" s="12" t="n"/>
      <c r="AB6" s="12" t="n"/>
      <c r="AC6" s="12" t="n"/>
      <c r="AD6" s="12" t="n"/>
      <c r="AE6" s="12" t="n"/>
      <c r="AF6" s="12" t="n"/>
      <c r="AG6" s="12" t="n"/>
      <c r="AH6" s="12" t="n"/>
      <c r="AI6" s="12" t="n"/>
      <c r="AJ6" s="12" t="n"/>
      <c r="AK6" s="12" t="n"/>
      <c r="AL6" s="12" t="n"/>
      <c r="AM6" s="12" t="n"/>
      <c r="AN6" s="12" t="n"/>
    </row>
    <row r="7">
      <c r="A7" s="30" t="inlineStr">
        <is>
          <t>YT LIVES</t>
        </is>
      </c>
      <c r="B7" s="138" t="n">
        <v>1</v>
      </c>
      <c r="C7" s="26" t="n">
        <v>3774.16</v>
      </c>
      <c r="D7" s="27" t="n">
        <v>878.91</v>
      </c>
      <c r="E7" s="27" t="n">
        <v>1.28</v>
      </c>
      <c r="F7" s="27" t="n">
        <v>1.29</v>
      </c>
      <c r="G7" s="27" t="n">
        <v>0.82</v>
      </c>
      <c r="H7" s="27" t="n">
        <v>1.42</v>
      </c>
      <c r="I7" s="27" t="n">
        <v>1.4</v>
      </c>
      <c r="J7" s="27" t="n">
        <v>2.18</v>
      </c>
      <c r="K7" s="27" t="n">
        <v>180.18</v>
      </c>
      <c r="L7" s="27" t="n">
        <v>31.21</v>
      </c>
      <c r="M7" s="27" t="n">
        <v>42.47</v>
      </c>
      <c r="N7" s="35" t="n">
        <v>8.460000000000001</v>
      </c>
      <c r="O7" s="35" t="n">
        <v>186.16</v>
      </c>
      <c r="P7" s="35" t="n">
        <v>3.47</v>
      </c>
      <c r="Q7" s="35" t="n">
        <v>14.26</v>
      </c>
      <c r="R7" s="35" t="n">
        <v>6.38</v>
      </c>
      <c r="S7" s="35" t="n">
        <v>134.5</v>
      </c>
      <c r="T7" s="35" t="n">
        <v>8.16</v>
      </c>
      <c r="U7" s="35" t="n">
        <v>1702.04</v>
      </c>
      <c r="V7" s="35" t="n">
        <v>1210.78</v>
      </c>
      <c r="W7" s="35" t="n">
        <v>3030.49</v>
      </c>
      <c r="X7" s="12" t="n"/>
      <c r="Y7" s="12" t="n"/>
      <c r="Z7" s="12" t="n"/>
      <c r="AA7" s="12" t="n"/>
      <c r="AB7" s="12" t="n"/>
      <c r="AC7" s="12" t="n"/>
      <c r="AD7" s="12" t="n"/>
      <c r="AE7" s="12" t="n"/>
      <c r="AF7" s="12" t="n"/>
      <c r="AG7" s="12" t="n"/>
      <c r="AH7" s="12" t="n"/>
      <c r="AI7" s="12" t="n"/>
      <c r="AJ7" s="12" t="n"/>
      <c r="AK7" s="12" t="n"/>
      <c r="AL7" s="12" t="n"/>
      <c r="AM7" s="12" t="n"/>
      <c r="AN7" s="12" t="n"/>
    </row>
    <row r="8">
      <c r="A8" s="30" t="inlineStr">
        <is>
          <t>CULTURE GENESIS</t>
        </is>
      </c>
      <c r="B8" s="138" t="n">
        <v>1</v>
      </c>
      <c r="C8" s="31" t="inlineStr">
        <is>
          <t>TBD</t>
        </is>
      </c>
      <c r="D8" s="32" t="n">
        <v>676.74</v>
      </c>
      <c r="E8" s="32" t="n">
        <v>2887.07</v>
      </c>
      <c r="F8" s="27" t="n">
        <v>3155.81</v>
      </c>
      <c r="G8" s="27" t="n">
        <v>1520.75</v>
      </c>
      <c r="H8" s="27" t="n">
        <v>365.06</v>
      </c>
      <c r="I8" s="27" t="n">
        <v>714.9299999999999</v>
      </c>
      <c r="J8" s="33" t="inlineStr">
        <is>
          <t>N/A</t>
        </is>
      </c>
      <c r="K8" s="33" t="inlineStr">
        <is>
          <t>N/A</t>
        </is>
      </c>
      <c r="L8" s="33" t="inlineStr">
        <is>
          <t>N/A</t>
        </is>
      </c>
      <c r="M8" s="33" t="inlineStr">
        <is>
          <t>N/A</t>
        </is>
      </c>
      <c r="N8" s="34" t="inlineStr">
        <is>
          <t>N/A</t>
        </is>
      </c>
      <c r="O8" s="34" t="inlineStr">
        <is>
          <t>N/A</t>
        </is>
      </c>
      <c r="P8" s="35" t="inlineStr">
        <is>
          <t>N/A</t>
        </is>
      </c>
      <c r="Q8" s="47" t="inlineStr">
        <is>
          <t>N/A</t>
        </is>
      </c>
      <c r="R8" s="35" t="inlineStr">
        <is>
          <t>N/A</t>
        </is>
      </c>
      <c r="S8" s="35" t="inlineStr">
        <is>
          <t>N/A</t>
        </is>
      </c>
      <c r="T8" s="35" t="inlineStr">
        <is>
          <t>N/A</t>
        </is>
      </c>
      <c r="U8" s="35" t="inlineStr">
        <is>
          <t>N/A</t>
        </is>
      </c>
      <c r="V8" s="35" t="inlineStr">
        <is>
          <t>N/A</t>
        </is>
      </c>
      <c r="W8" s="37" t="n"/>
      <c r="X8" s="38" t="n"/>
      <c r="Y8" s="38" t="n"/>
      <c r="Z8" s="38" t="n"/>
      <c r="AA8" s="38" t="n"/>
      <c r="AB8" s="38" t="n"/>
      <c r="AC8" s="38" t="n"/>
      <c r="AD8" s="38" t="n"/>
      <c r="AE8" s="38" t="n"/>
      <c r="AF8" s="38" t="n"/>
      <c r="AG8" s="38" t="n"/>
      <c r="AH8" s="38" t="n"/>
      <c r="AI8" s="38" t="n"/>
      <c r="AJ8" s="38" t="n"/>
      <c r="AK8" s="38" t="n"/>
      <c r="AL8" s="38" t="n"/>
      <c r="AM8" s="38" t="n"/>
      <c r="AN8" s="38" t="n"/>
    </row>
    <row r="9">
      <c r="A9" s="39" t="inlineStr">
        <is>
          <t>UPTIDES</t>
        </is>
      </c>
      <c r="B9" s="139" t="n">
        <v>1</v>
      </c>
      <c r="C9" s="40" t="n">
        <v>7.68</v>
      </c>
      <c r="D9" s="41" t="inlineStr">
        <is>
          <t>N/A</t>
        </is>
      </c>
      <c r="E9" s="41" t="inlineStr">
        <is>
          <t>N/A</t>
        </is>
      </c>
      <c r="F9" s="41" t="inlineStr">
        <is>
          <t>N/A</t>
        </is>
      </c>
      <c r="G9" s="41" t="inlineStr">
        <is>
          <t>N/A</t>
        </is>
      </c>
      <c r="H9" s="41" t="inlineStr">
        <is>
          <t>N/A</t>
        </is>
      </c>
      <c r="I9" s="41" t="inlineStr">
        <is>
          <t>N/A</t>
        </is>
      </c>
      <c r="J9" s="41" t="inlineStr">
        <is>
          <t>N/A</t>
        </is>
      </c>
      <c r="K9" s="41" t="inlineStr">
        <is>
          <t>N/A</t>
        </is>
      </c>
      <c r="L9" s="41" t="inlineStr">
        <is>
          <t>N/A</t>
        </is>
      </c>
      <c r="M9" s="41" t="inlineStr">
        <is>
          <t>N/A</t>
        </is>
      </c>
      <c r="N9" s="42" t="inlineStr">
        <is>
          <t>N/A</t>
        </is>
      </c>
      <c r="O9" s="42" t="inlineStr">
        <is>
          <t>N/A</t>
        </is>
      </c>
      <c r="P9" s="34" t="n"/>
      <c r="Q9" s="42" t="n"/>
      <c r="R9" s="34" t="n"/>
      <c r="S9" s="35" t="n"/>
      <c r="T9" s="35" t="n"/>
      <c r="U9" s="35" t="n"/>
      <c r="V9" s="35" t="n"/>
      <c r="W9" s="35" t="n"/>
      <c r="X9" s="12" t="n"/>
      <c r="Y9" s="12" t="n"/>
      <c r="Z9" s="12" t="n"/>
      <c r="AA9" s="12" t="n"/>
      <c r="AB9" s="12" t="n"/>
      <c r="AC9" s="12" t="n"/>
      <c r="AD9" s="12" t="n"/>
      <c r="AE9" s="12" t="n"/>
      <c r="AF9" s="12" t="n"/>
      <c r="AG9" s="12" t="n"/>
      <c r="AH9" s="12" t="n"/>
      <c r="AI9" s="12" t="n"/>
      <c r="AJ9" s="12" t="n"/>
      <c r="AK9" s="12" t="n"/>
      <c r="AL9" s="12" t="n"/>
      <c r="AM9" s="12" t="n"/>
      <c r="AN9" s="12" t="n"/>
    </row>
    <row r="10">
      <c r="A10" s="43" t="inlineStr">
        <is>
          <t>AUDIO</t>
        </is>
      </c>
      <c r="B10" s="140" t="n">
        <v>1</v>
      </c>
      <c r="C10" s="44" t="n">
        <v>0</v>
      </c>
      <c r="D10" s="45" t="n">
        <v>631.8099999999999</v>
      </c>
      <c r="E10" s="45" t="n">
        <v>1441.56</v>
      </c>
      <c r="F10" s="45" t="n">
        <v>2218.64</v>
      </c>
      <c r="G10" s="45" t="n">
        <v>837.92</v>
      </c>
      <c r="H10" s="45" t="n">
        <v>918.7</v>
      </c>
      <c r="I10" s="45" t="n">
        <v>89.59999999999999</v>
      </c>
      <c r="J10" s="33" t="inlineStr">
        <is>
          <t>N/A</t>
        </is>
      </c>
      <c r="K10" s="33" t="inlineStr">
        <is>
          <t>N/A</t>
        </is>
      </c>
      <c r="L10" s="33" t="inlineStr">
        <is>
          <t>N/A</t>
        </is>
      </c>
      <c r="M10" s="33" t="inlineStr">
        <is>
          <t>N/A</t>
        </is>
      </c>
      <c r="N10" s="42" t="inlineStr">
        <is>
          <t>N/A</t>
        </is>
      </c>
      <c r="O10" s="34" t="inlineStr">
        <is>
          <t>N/A</t>
        </is>
      </c>
      <c r="P10" s="46" t="inlineStr">
        <is>
          <t>N/A</t>
        </is>
      </c>
      <c r="Q10" s="42" t="inlineStr">
        <is>
          <t>N/A</t>
        </is>
      </c>
      <c r="R10" s="34" t="inlineStr">
        <is>
          <t>N/A</t>
        </is>
      </c>
      <c r="S10" s="35" t="inlineStr">
        <is>
          <t>N/A</t>
        </is>
      </c>
      <c r="T10" s="35" t="inlineStr">
        <is>
          <t>N/A</t>
        </is>
      </c>
      <c r="U10" s="35" t="inlineStr">
        <is>
          <t>N/A</t>
        </is>
      </c>
      <c r="V10" s="35" t="inlineStr">
        <is>
          <t>N/A</t>
        </is>
      </c>
      <c r="W10" s="47" t="n"/>
      <c r="X10" s="12" t="n"/>
      <c r="Y10" s="12" t="n"/>
      <c r="Z10" s="12" t="n"/>
      <c r="AA10" s="12" t="n"/>
      <c r="AB10" s="12" t="n"/>
      <c r="AC10" s="12" t="n"/>
      <c r="AD10" s="12" t="n"/>
      <c r="AE10" s="12" t="n"/>
      <c r="AF10" s="12" t="n"/>
      <c r="AG10" s="12" t="n"/>
      <c r="AH10" s="12" t="n"/>
      <c r="AI10" s="12" t="n"/>
      <c r="AJ10" s="12" t="n"/>
      <c r="AK10" s="12" t="n"/>
      <c r="AL10" s="12" t="n"/>
      <c r="AM10" s="12" t="n"/>
      <c r="AN10" s="12" t="n"/>
    </row>
    <row r="11">
      <c r="A11" s="43" t="inlineStr">
        <is>
          <t>BRANDS</t>
        </is>
      </c>
      <c r="B11" s="141" t="n">
        <v>1</v>
      </c>
      <c r="C11" s="48" t="n">
        <v>45000</v>
      </c>
      <c r="D11" s="49" t="inlineStr">
        <is>
          <t>N/A</t>
        </is>
      </c>
      <c r="E11" s="49" t="inlineStr">
        <is>
          <t>N/A</t>
        </is>
      </c>
      <c r="F11" s="49" t="inlineStr">
        <is>
          <t>N/A</t>
        </is>
      </c>
      <c r="G11" s="49" t="inlineStr">
        <is>
          <t>N/A</t>
        </is>
      </c>
      <c r="H11" s="49" t="inlineStr">
        <is>
          <t>N/A</t>
        </is>
      </c>
      <c r="I11" s="49" t="inlineStr">
        <is>
          <t>N/A</t>
        </is>
      </c>
      <c r="J11" s="49" t="inlineStr">
        <is>
          <t>N/A</t>
        </is>
      </c>
      <c r="K11" s="49" t="inlineStr">
        <is>
          <t>N/A</t>
        </is>
      </c>
      <c r="L11" s="49" t="inlineStr">
        <is>
          <t>N/A</t>
        </is>
      </c>
      <c r="M11" s="49" t="inlineStr">
        <is>
          <t>N/A</t>
        </is>
      </c>
      <c r="N11" s="50" t="inlineStr">
        <is>
          <t>N/A</t>
        </is>
      </c>
      <c r="O11" s="49" t="inlineStr">
        <is>
          <t>N/A</t>
        </is>
      </c>
      <c r="P11" s="46" t="n"/>
      <c r="Q11" s="42" t="n"/>
      <c r="R11" s="34" t="n"/>
      <c r="S11" s="35" t="n"/>
      <c r="T11" s="35" t="n"/>
      <c r="U11" s="35" t="n"/>
      <c r="V11" s="35" t="n"/>
      <c r="W11" s="47" t="n"/>
      <c r="X11" s="12" t="n"/>
      <c r="Y11" s="12" t="n"/>
      <c r="Z11" s="12" t="n"/>
      <c r="AA11" s="12" t="n"/>
      <c r="AB11" s="12" t="n"/>
      <c r="AC11" s="12" t="n"/>
      <c r="AD11" s="12" t="n"/>
      <c r="AE11" s="12" t="n"/>
      <c r="AF11" s="12" t="n"/>
      <c r="AG11" s="12" t="n"/>
      <c r="AH11" s="12" t="n"/>
      <c r="AI11" s="12" t="n"/>
      <c r="AJ11" s="12" t="n"/>
      <c r="AK11" s="12" t="n"/>
      <c r="AL11" s="12" t="n"/>
      <c r="AM11" s="12" t="n"/>
      <c r="AN11" s="12" t="n"/>
    </row>
    <row r="12">
      <c r="A12" s="43" t="inlineStr">
        <is>
          <t>SOCIAL</t>
        </is>
      </c>
      <c r="B12" s="142" t="n">
        <v>1</v>
      </c>
      <c r="C12" s="49" t="inlineStr">
        <is>
          <t>N/A</t>
        </is>
      </c>
      <c r="D12" s="49" t="inlineStr">
        <is>
          <t>N/A</t>
        </is>
      </c>
      <c r="E12" s="49" t="inlineStr">
        <is>
          <t>N/A</t>
        </is>
      </c>
      <c r="F12" s="49" t="inlineStr">
        <is>
          <t>N/A</t>
        </is>
      </c>
      <c r="G12" s="49" t="inlineStr">
        <is>
          <t>N/A</t>
        </is>
      </c>
      <c r="H12" s="49" t="inlineStr">
        <is>
          <t>N/A</t>
        </is>
      </c>
      <c r="I12" s="49" t="inlineStr">
        <is>
          <t>N/A</t>
        </is>
      </c>
      <c r="J12" s="49" t="inlineStr">
        <is>
          <t>N/A</t>
        </is>
      </c>
      <c r="K12" s="49" t="inlineStr">
        <is>
          <t>N/A</t>
        </is>
      </c>
      <c r="L12" s="49" t="inlineStr">
        <is>
          <t>N/A</t>
        </is>
      </c>
      <c r="M12" s="49" t="inlineStr">
        <is>
          <t>N/A</t>
        </is>
      </c>
      <c r="N12" s="50" t="inlineStr">
        <is>
          <t>N/A</t>
        </is>
      </c>
      <c r="O12" s="50" t="inlineStr">
        <is>
          <t>N/A</t>
        </is>
      </c>
      <c r="P12" s="50" t="inlineStr">
        <is>
          <t>N/A</t>
        </is>
      </c>
      <c r="Q12" s="42" t="inlineStr">
        <is>
          <t>N/A</t>
        </is>
      </c>
      <c r="R12" s="42" t="inlineStr">
        <is>
          <t>N/A</t>
        </is>
      </c>
      <c r="S12" s="47" t="inlineStr">
        <is>
          <t>N/A</t>
        </is>
      </c>
      <c r="T12" s="47" t="inlineStr">
        <is>
          <t>N/A</t>
        </is>
      </c>
      <c r="U12" s="47" t="inlineStr">
        <is>
          <t>N/A</t>
        </is>
      </c>
      <c r="V12" s="47" t="inlineStr">
        <is>
          <t>N/A</t>
        </is>
      </c>
      <c r="W12" s="47" t="n"/>
      <c r="X12" s="12" t="n"/>
      <c r="Y12" s="12" t="n"/>
      <c r="Z12" s="12" t="n"/>
      <c r="AA12" s="12" t="n"/>
      <c r="AB12" s="12" t="n"/>
      <c r="AC12" s="12" t="n"/>
      <c r="AD12" s="12" t="n"/>
      <c r="AE12" s="12" t="n"/>
      <c r="AF12" s="12" t="n"/>
      <c r="AG12" s="12" t="n"/>
      <c r="AH12" s="12" t="n"/>
      <c r="AI12" s="12" t="n"/>
      <c r="AJ12" s="12" t="n"/>
      <c r="AK12" s="12" t="n"/>
      <c r="AL12" s="12" t="n"/>
      <c r="AM12" s="12" t="n"/>
      <c r="AN12" s="12" t="n"/>
    </row>
    <row r="13">
      <c r="A13" s="51" t="inlineStr">
        <is>
          <t>MERCH</t>
        </is>
      </c>
      <c r="B13" s="142" t="n">
        <v>1</v>
      </c>
      <c r="C13" s="49" t="inlineStr">
        <is>
          <t>N/A</t>
        </is>
      </c>
      <c r="D13" s="41" t="inlineStr">
        <is>
          <t>N/A</t>
        </is>
      </c>
      <c r="E13" s="41" t="inlineStr">
        <is>
          <t>N/A</t>
        </is>
      </c>
      <c r="F13" s="41" t="inlineStr">
        <is>
          <t>N/A</t>
        </is>
      </c>
      <c r="G13" s="41" t="inlineStr">
        <is>
          <t>N/A</t>
        </is>
      </c>
      <c r="H13" s="41" t="inlineStr">
        <is>
          <t>N/A</t>
        </is>
      </c>
      <c r="I13" s="41" t="inlineStr">
        <is>
          <t>N/A</t>
        </is>
      </c>
      <c r="J13" s="41" t="inlineStr">
        <is>
          <t>N/A</t>
        </is>
      </c>
      <c r="K13" s="41" t="inlineStr">
        <is>
          <t>N/A</t>
        </is>
      </c>
      <c r="L13" s="41" t="inlineStr">
        <is>
          <t>N/A</t>
        </is>
      </c>
      <c r="M13" s="41" t="inlineStr">
        <is>
          <t>N/A</t>
        </is>
      </c>
      <c r="N13" s="42" t="inlineStr">
        <is>
          <t>N/A</t>
        </is>
      </c>
      <c r="O13" s="42" t="inlineStr">
        <is>
          <t>N/A</t>
        </is>
      </c>
      <c r="P13" s="42" t="inlineStr">
        <is>
          <t>N/A</t>
        </is>
      </c>
      <c r="Q13" s="42" t="inlineStr">
        <is>
          <t>N/A</t>
        </is>
      </c>
      <c r="R13" s="42" t="inlineStr">
        <is>
          <t>N/A</t>
        </is>
      </c>
      <c r="S13" s="47" t="n"/>
      <c r="T13" s="47" t="n"/>
      <c r="U13" s="47" t="n"/>
      <c r="V13" s="47" t="n"/>
      <c r="W13" s="47" t="n"/>
      <c r="X13" s="12" t="n"/>
      <c r="Y13" s="12" t="n"/>
      <c r="Z13" s="12" t="n"/>
      <c r="AA13" s="12" t="n"/>
      <c r="AB13" s="12" t="n"/>
      <c r="AC13" s="12" t="n"/>
      <c r="AD13" s="12" t="n"/>
      <c r="AE13" s="12" t="n"/>
      <c r="AF13" s="12" t="n"/>
      <c r="AG13" s="12" t="n"/>
      <c r="AH13" s="12" t="n"/>
      <c r="AI13" s="12" t="n"/>
      <c r="AJ13" s="12" t="n"/>
      <c r="AK13" s="12" t="n"/>
      <c r="AL13" s="12" t="n"/>
      <c r="AM13" s="12" t="n"/>
      <c r="AN13" s="12" t="n"/>
    </row>
    <row r="14">
      <c r="A14" s="52" t="inlineStr">
        <is>
          <t>TOTAL</t>
        </is>
      </c>
      <c r="B14" s="140">
        <f>SUM(B5:B8,B10:B13)</f>
        <v/>
      </c>
      <c r="C14" s="53">
        <f>SUM(C5:C8,C10:C13)</f>
        <v/>
      </c>
      <c r="D14" s="53">
        <f>SUM(D5:D8,D10:D13)</f>
        <v/>
      </c>
      <c r="E14" s="53">
        <f>SUM(E5:E8,E10:E13)</f>
        <v/>
      </c>
      <c r="F14" s="53">
        <f>SUM(F5:F8,F10:F13)</f>
        <v/>
      </c>
      <c r="G14" s="53">
        <f>SUM(G5:G8,G10:G13)</f>
        <v/>
      </c>
      <c r="H14" s="53">
        <f>SUM(H5:H8,H10:H13)</f>
        <v/>
      </c>
      <c r="I14" s="53">
        <f>SUM(I5:I8,I10:I13)</f>
        <v/>
      </c>
      <c r="J14" s="53">
        <f>SUM(J5:J8,J10:J13)</f>
        <v/>
      </c>
      <c r="K14" s="53">
        <f>SUM(K5:K8,K10:K13)</f>
        <v/>
      </c>
      <c r="L14" s="53">
        <f>SUM(L5:L8,L10:L13)</f>
        <v/>
      </c>
      <c r="M14" s="53">
        <f>SUM(M5:M8,M10:M13)</f>
        <v/>
      </c>
      <c r="N14" s="47">
        <f>SUM(N5:N8,N10:N13)</f>
        <v/>
      </c>
      <c r="O14" s="47">
        <f>SUM(O5:O8,O10:O13)</f>
        <v/>
      </c>
      <c r="P14" s="53">
        <f>SUM(P5:P8,P10:P13)</f>
        <v/>
      </c>
      <c r="Q14" s="47">
        <f>SUM(Q5:Q8,Q10:Q13)</f>
        <v/>
      </c>
      <c r="R14" s="54">
        <f>SUM(R5:R8,R10:R13)</f>
        <v/>
      </c>
      <c r="S14" s="54">
        <f>SUM(S5:S8,S10:S13)</f>
        <v/>
      </c>
      <c r="T14" s="54">
        <f>SUM(T5:T8,T10:T13)</f>
        <v/>
      </c>
      <c r="U14" s="54">
        <f>SUM(U5:U8,U10:U13)</f>
        <v/>
      </c>
      <c r="V14" s="54">
        <f>SUM(V5:V8,V10:V13)</f>
        <v/>
      </c>
      <c r="W14" s="55">
        <f>SUM(W5:W8,W10:W13)</f>
        <v/>
      </c>
      <c r="X14" s="38" t="n"/>
      <c r="Y14" s="38" t="n"/>
      <c r="Z14" s="38" t="n"/>
      <c r="AA14" s="38" t="n"/>
      <c r="AB14" s="38" t="n"/>
      <c r="AC14" s="38" t="n"/>
      <c r="AD14" s="38" t="n"/>
      <c r="AE14" s="38" t="n"/>
      <c r="AF14" s="38" t="n"/>
      <c r="AG14" s="38" t="n"/>
      <c r="AH14" s="38" t="n"/>
      <c r="AI14" s="38" t="n"/>
      <c r="AJ14" s="38" t="n"/>
      <c r="AK14" s="38" t="n"/>
      <c r="AL14" s="38" t="n"/>
      <c r="AM14" s="38" t="n"/>
      <c r="AN14" s="38" t="n"/>
    </row>
    <row r="15">
      <c r="A15" s="56" t="n"/>
      <c r="B15" s="56" t="n"/>
      <c r="C15" s="56" t="n"/>
      <c r="D15" s="56" t="n"/>
      <c r="E15" s="56" t="n"/>
      <c r="F15" s="56" t="n"/>
      <c r="G15" s="56" t="n"/>
      <c r="H15" s="56" t="n"/>
      <c r="I15" s="56" t="n"/>
      <c r="J15" s="56" t="n"/>
      <c r="K15" s="56" t="n"/>
      <c r="L15" s="56" t="n"/>
      <c r="M15" s="56" t="n"/>
      <c r="N15" s="56" t="n"/>
      <c r="O15" s="56" t="n"/>
      <c r="P15" s="56" t="n"/>
      <c r="Q15" s="56" t="n"/>
      <c r="R15" s="56" t="n"/>
      <c r="S15" s="56" t="n"/>
      <c r="T15" s="56" t="n"/>
      <c r="U15" s="56" t="n"/>
      <c r="V15" s="56" t="n"/>
      <c r="W15" s="56" t="n"/>
      <c r="X15" s="56" t="n"/>
      <c r="Y15" s="56" t="n"/>
      <c r="Z15" s="56" t="n"/>
      <c r="AA15" s="56" t="n"/>
      <c r="AB15" s="56" t="n"/>
      <c r="AC15" s="56" t="n"/>
      <c r="AD15" s="56" t="n"/>
      <c r="AE15" s="56" t="n"/>
      <c r="AF15" s="56" t="n"/>
      <c r="AG15" s="56" t="n"/>
      <c r="AH15" s="56" t="n"/>
      <c r="AI15" s="56" t="n"/>
      <c r="AJ15" s="56" t="n"/>
      <c r="AK15" s="56" t="n"/>
      <c r="AL15" s="56" t="n"/>
      <c r="AM15" s="56" t="n"/>
    </row>
    <row r="16">
      <c r="A16" s="56" t="n"/>
      <c r="B16" s="56" t="n"/>
      <c r="C16" s="56" t="n"/>
      <c r="D16" s="56" t="n"/>
      <c r="E16" s="56" t="n"/>
      <c r="F16" s="56" t="n"/>
      <c r="G16" s="56" t="n"/>
      <c r="H16" s="56" t="n"/>
      <c r="I16" s="56" t="n"/>
      <c r="J16" s="56" t="n"/>
      <c r="K16" s="56" t="n"/>
      <c r="L16" s="56" t="n"/>
      <c r="M16" s="56" t="n"/>
      <c r="N16" s="56" t="n"/>
      <c r="O16" s="56" t="n"/>
      <c r="P16" s="56" t="n"/>
      <c r="Q16" s="56" t="n"/>
      <c r="R16" s="56" t="n"/>
      <c r="S16" s="56" t="n"/>
      <c r="T16" s="56" t="n"/>
      <c r="U16" s="56" t="n"/>
      <c r="V16" s="56" t="n"/>
      <c r="W16" s="56" t="n"/>
      <c r="X16" s="56" t="n"/>
      <c r="Y16" s="56" t="n"/>
      <c r="Z16" s="56" t="n"/>
      <c r="AA16" s="56" t="n"/>
      <c r="AB16" s="56" t="n"/>
      <c r="AC16" s="56" t="n"/>
      <c r="AD16" s="56" t="n"/>
      <c r="AE16" s="56" t="n"/>
      <c r="AF16" s="56" t="n"/>
      <c r="AG16" s="56" t="n"/>
      <c r="AH16" s="56" t="n"/>
      <c r="AI16" s="56" t="n"/>
      <c r="AJ16" s="56" t="n"/>
      <c r="AK16" s="56" t="n"/>
      <c r="AL16" s="56" t="n"/>
      <c r="AM16" s="56" t="n"/>
    </row>
    <row r="17">
      <c r="A17" s="56" t="n"/>
      <c r="B17" s="56" t="n"/>
      <c r="C17" s="56" t="n"/>
      <c r="D17" s="56" t="n"/>
      <c r="E17" s="56" t="n"/>
      <c r="F17" s="56" t="n"/>
      <c r="G17" s="56" t="n"/>
      <c r="H17" s="56" t="n"/>
      <c r="I17" s="56" t="n"/>
      <c r="J17" s="56" t="n"/>
      <c r="K17" s="56" t="n"/>
      <c r="L17" s="56" t="n"/>
      <c r="M17" s="56" t="n"/>
      <c r="N17" s="56" t="n"/>
      <c r="O17" s="56" t="n"/>
      <c r="P17" s="56" t="n"/>
      <c r="Q17" s="56" t="n"/>
      <c r="R17" s="56" t="n"/>
      <c r="S17" s="56" t="n"/>
      <c r="T17" s="56" t="n"/>
      <c r="U17" s="56" t="n"/>
      <c r="V17" s="56" t="n"/>
      <c r="W17" s="56" t="n"/>
      <c r="X17" s="56" t="n"/>
      <c r="Y17" s="56" t="n"/>
      <c r="Z17" s="56" t="n"/>
      <c r="AA17" s="56" t="n"/>
      <c r="AB17" s="56" t="n"/>
      <c r="AC17" s="56" t="n"/>
      <c r="AD17" s="56" t="n"/>
      <c r="AE17" s="56" t="n"/>
      <c r="AF17" s="56" t="n"/>
      <c r="AG17" s="56" t="n"/>
      <c r="AH17" s="56" t="n"/>
      <c r="AI17" s="56" t="n"/>
      <c r="AJ17" s="56" t="n"/>
      <c r="AK17" s="56" t="n"/>
      <c r="AL17" s="56" t="n"/>
      <c r="AM17" s="56" t="n"/>
    </row>
    <row r="18">
      <c r="A18" s="56" t="n"/>
      <c r="B18" s="56" t="n"/>
      <c r="C18" s="56" t="n"/>
      <c r="D18" s="56" t="n"/>
      <c r="E18" s="56" t="n"/>
      <c r="F18" s="56" t="n"/>
      <c r="G18" s="56" t="n"/>
      <c r="H18" s="56" t="n"/>
      <c r="I18" s="56" t="n"/>
      <c r="J18" s="56" t="n"/>
      <c r="K18" s="56" t="n"/>
      <c r="L18" s="56" t="n"/>
      <c r="M18" s="56" t="n"/>
      <c r="O18" s="56" t="n"/>
      <c r="P18" s="56" t="n"/>
      <c r="Q18" s="56" t="n"/>
      <c r="R18" s="56" t="n"/>
      <c r="S18" s="56" t="n"/>
      <c r="T18" s="56" t="n"/>
      <c r="U18" s="56" t="n"/>
      <c r="V18" s="56" t="n"/>
      <c r="W18" s="56" t="n"/>
      <c r="X18" s="56" t="n"/>
      <c r="Y18" s="56" t="n"/>
      <c r="Z18" s="56" t="n"/>
      <c r="AA18" s="56" t="n"/>
      <c r="AB18" s="56" t="n"/>
      <c r="AC18" s="56" t="n"/>
      <c r="AD18" s="56" t="n"/>
      <c r="AE18" s="56" t="n"/>
      <c r="AF18" s="56" t="n"/>
      <c r="AG18" s="56" t="n"/>
      <c r="AH18" s="56" t="n"/>
      <c r="AI18" s="56" t="n"/>
      <c r="AJ18" s="56" t="n"/>
      <c r="AK18" s="56" t="n"/>
      <c r="AL18" s="56" t="n"/>
      <c r="AM18" s="56" t="n"/>
    </row>
    <row r="19">
      <c r="A19" s="56" t="n"/>
      <c r="B19" s="56" t="n"/>
      <c r="C19" s="56" t="n"/>
      <c r="D19" s="56" t="n"/>
      <c r="E19" s="56" t="n"/>
      <c r="F19" s="56" t="n"/>
      <c r="G19" s="56" t="n"/>
      <c r="H19" s="56" t="n"/>
      <c r="I19" s="56" t="n"/>
      <c r="J19" s="56" t="n"/>
      <c r="K19" s="56" t="n"/>
      <c r="L19" s="56" t="n"/>
      <c r="M19" s="56" t="n"/>
      <c r="N19" s="56" t="n"/>
      <c r="O19" s="56" t="n"/>
      <c r="P19" s="56" t="n"/>
      <c r="Q19" s="56" t="n"/>
      <c r="R19" s="56" t="n"/>
      <c r="S19" s="56" t="n"/>
      <c r="T19" s="56" t="n"/>
      <c r="U19" s="56" t="n"/>
      <c r="V19" s="56" t="n"/>
      <c r="W19" s="56" t="n"/>
      <c r="X19" s="56" t="n"/>
      <c r="Y19" s="56" t="n"/>
      <c r="Z19" s="56" t="n"/>
      <c r="AA19" s="56" t="n"/>
      <c r="AB19" s="56" t="n"/>
      <c r="AC19" s="56" t="n"/>
      <c r="AD19" s="56" t="n"/>
      <c r="AE19" s="56" t="n"/>
      <c r="AF19" s="56" t="n"/>
      <c r="AG19" s="56" t="n"/>
      <c r="AH19" s="56" t="n"/>
      <c r="AI19" s="56" t="n"/>
      <c r="AJ19" s="56" t="n"/>
      <c r="AK19" s="56" t="n"/>
      <c r="AL19" s="56" t="n"/>
      <c r="AM19" s="56" t="n"/>
    </row>
    <row r="20">
      <c r="A20" s="56" t="n"/>
      <c r="B20" s="56" t="n"/>
      <c r="C20" s="56" t="n"/>
      <c r="D20" s="56" t="n"/>
      <c r="E20" s="56" t="n"/>
      <c r="F20" s="56" t="n"/>
      <c r="G20" s="56" t="n"/>
      <c r="H20" s="56" t="n"/>
      <c r="I20" s="56" t="n"/>
      <c r="J20" s="56" t="n"/>
      <c r="K20" s="56" t="n"/>
      <c r="L20" s="56" t="n"/>
      <c r="M20" s="56" t="n"/>
      <c r="N20" s="56" t="n"/>
      <c r="O20" s="56" t="n"/>
      <c r="P20" s="56" t="n"/>
      <c r="Q20" s="56" t="n"/>
      <c r="R20" s="56" t="n"/>
      <c r="S20" s="56" t="n"/>
      <c r="T20" s="56" t="n"/>
      <c r="U20" s="56" t="n"/>
      <c r="V20" s="56" t="n"/>
      <c r="W20" s="56" t="n"/>
      <c r="X20" s="56" t="n"/>
      <c r="Y20" s="56" t="n"/>
      <c r="Z20" s="56" t="n"/>
      <c r="AA20" s="56" t="n"/>
      <c r="AB20" s="56" t="n"/>
      <c r="AC20" s="56" t="n"/>
      <c r="AD20" s="56" t="n"/>
      <c r="AE20" s="56" t="n"/>
      <c r="AF20" s="56" t="n"/>
      <c r="AG20" s="56" t="n"/>
      <c r="AH20" s="56" t="n"/>
      <c r="AI20" s="56" t="n"/>
      <c r="AJ20" s="56" t="n"/>
      <c r="AK20" s="56" t="n"/>
      <c r="AL20" s="56" t="n"/>
      <c r="AM20" s="56" t="n"/>
    </row>
    <row r="21">
      <c r="A21" s="56" t="n"/>
      <c r="B21" s="56" t="n"/>
      <c r="C21" s="56" t="n"/>
      <c r="D21" s="56" t="n"/>
      <c r="E21" s="56" t="n"/>
      <c r="F21" s="56" t="n"/>
      <c r="G21" s="56" t="n"/>
      <c r="H21" s="56" t="n"/>
      <c r="I21" s="56" t="n"/>
      <c r="J21" s="56" t="n"/>
      <c r="K21" s="56" t="n"/>
      <c r="L21" s="56" t="n"/>
      <c r="M21" s="56" t="n"/>
      <c r="N21" s="56" t="n"/>
      <c r="O21" s="56" t="n"/>
      <c r="P21" s="56" t="n"/>
      <c r="Q21" s="56" t="n"/>
      <c r="R21" s="56" t="n"/>
      <c r="S21" s="56" t="n"/>
      <c r="T21" s="56" t="n"/>
      <c r="U21" s="56" t="n"/>
      <c r="V21" s="56" t="n"/>
      <c r="W21" s="56" t="n"/>
      <c r="X21" s="56" t="n"/>
      <c r="Y21" s="56" t="n"/>
      <c r="Z21" s="56" t="n"/>
      <c r="AA21" s="56" t="n"/>
      <c r="AB21" s="56" t="n"/>
      <c r="AC21" s="56" t="n"/>
      <c r="AD21" s="56" t="n"/>
      <c r="AE21" s="56" t="n"/>
      <c r="AF21" s="56" t="n"/>
      <c r="AG21" s="56" t="n"/>
      <c r="AH21" s="56" t="n"/>
      <c r="AI21" s="56" t="n"/>
      <c r="AJ21" s="56" t="n"/>
      <c r="AK21" s="56" t="n"/>
      <c r="AL21" s="56" t="n"/>
      <c r="AM21" s="56" t="n"/>
    </row>
    <row r="22">
      <c r="A22" s="56" t="n"/>
      <c r="B22" s="56" t="n"/>
      <c r="C22" s="56" t="n"/>
      <c r="D22" s="56" t="n"/>
      <c r="E22" s="56" t="n"/>
      <c r="F22" s="56" t="n"/>
      <c r="G22" s="56" t="n"/>
      <c r="H22" s="56" t="n"/>
      <c r="I22" s="56" t="n"/>
      <c r="J22" s="56" t="n"/>
      <c r="K22" s="56" t="n"/>
      <c r="L22" s="56" t="n"/>
      <c r="M22" s="56" t="n"/>
      <c r="N22" s="56" t="n"/>
      <c r="O22" s="56" t="n"/>
      <c r="P22" s="56" t="n"/>
      <c r="Q22" s="56" t="n"/>
      <c r="R22" s="56" t="n"/>
      <c r="S22" s="56" t="n"/>
      <c r="T22" s="56" t="n"/>
      <c r="U22" s="56" t="n"/>
      <c r="V22" s="56" t="n"/>
      <c r="W22" s="56" t="n"/>
      <c r="X22" s="56" t="n"/>
      <c r="Y22" s="56" t="n"/>
      <c r="Z22" s="56" t="n"/>
      <c r="AA22" s="56" t="n"/>
      <c r="AB22" s="56" t="n"/>
      <c r="AC22" s="56" t="n"/>
      <c r="AD22" s="56" t="n"/>
      <c r="AE22" s="56" t="n"/>
      <c r="AF22" s="56" t="n"/>
      <c r="AG22" s="56" t="n"/>
      <c r="AH22" s="56" t="n"/>
      <c r="AI22" s="56" t="n"/>
      <c r="AJ22" s="56" t="n"/>
      <c r="AK22" s="56" t="n"/>
      <c r="AL22" s="56" t="n"/>
      <c r="AM22" s="56" t="n"/>
    </row>
    <row r="23">
      <c r="A23" s="56" t="n"/>
      <c r="B23" s="56" t="n"/>
      <c r="C23" s="56" t="n"/>
      <c r="D23" s="56" t="n"/>
      <c r="E23" s="56" t="n"/>
      <c r="F23" s="56" t="n"/>
      <c r="G23" s="56" t="n"/>
      <c r="H23" s="56" t="n"/>
      <c r="I23" s="56" t="n"/>
      <c r="J23" s="56" t="n"/>
      <c r="K23" s="56" t="n"/>
      <c r="L23" s="56" t="n"/>
      <c r="M23" s="56" t="n"/>
      <c r="N23" s="56" t="n"/>
      <c r="O23" s="56" t="n"/>
      <c r="P23" s="56" t="n"/>
      <c r="Q23" s="56" t="n"/>
      <c r="R23" s="56" t="n"/>
      <c r="S23" s="56" t="n"/>
      <c r="T23" s="56" t="n"/>
      <c r="U23" s="56" t="n"/>
      <c r="V23" s="57" t="n"/>
      <c r="W23" s="57" t="n"/>
      <c r="X23" s="57" t="n"/>
      <c r="Y23" s="57" t="n"/>
      <c r="Z23" s="57" t="n"/>
      <c r="AA23" s="57" t="n"/>
      <c r="AB23" s="57" t="n"/>
      <c r="AC23" s="57" t="n"/>
      <c r="AD23" s="57" t="n"/>
      <c r="AE23" s="57" t="n"/>
      <c r="AF23" s="57" t="n"/>
      <c r="AG23" s="57" t="n"/>
      <c r="AH23" s="57" t="n"/>
      <c r="AI23" s="57" t="n"/>
      <c r="AJ23" s="57" t="n"/>
      <c r="AK23" s="57" t="n"/>
      <c r="AL23" s="57" t="n"/>
      <c r="AM23" s="57" t="n"/>
    </row>
    <row r="24">
      <c r="A24" s="56" t="n"/>
      <c r="B24" s="56" t="n"/>
      <c r="C24" s="56" t="n"/>
      <c r="D24" s="56" t="n"/>
      <c r="E24" s="56" t="n"/>
      <c r="F24" s="56" t="n"/>
      <c r="G24" s="56" t="n"/>
      <c r="H24" s="56" t="n"/>
      <c r="I24" s="56" t="n"/>
      <c r="J24" s="56" t="n"/>
      <c r="K24" s="56" t="n"/>
      <c r="L24" s="56" t="n"/>
      <c r="M24" s="56" t="n"/>
      <c r="N24" s="56" t="n"/>
      <c r="O24" s="56" t="n"/>
      <c r="P24" s="56" t="n"/>
      <c r="Q24" s="56" t="n"/>
      <c r="R24" s="56" t="n"/>
      <c r="S24" s="56" t="n"/>
      <c r="T24" s="56" t="n"/>
      <c r="U24" s="56" t="n"/>
      <c r="V24" s="56" t="n"/>
      <c r="W24" s="56" t="n"/>
      <c r="X24" s="56" t="n"/>
      <c r="Y24" s="56" t="n"/>
      <c r="Z24" s="56" t="n"/>
      <c r="AA24" s="56" t="n"/>
      <c r="AB24" s="56" t="n"/>
      <c r="AC24" s="56" t="n"/>
      <c r="AD24" s="56" t="n"/>
      <c r="AE24" s="56" t="n"/>
      <c r="AF24" s="56" t="n"/>
      <c r="AG24" s="56" t="n"/>
      <c r="AH24" s="56" t="n"/>
      <c r="AI24" s="56" t="n"/>
      <c r="AJ24" s="56" t="n"/>
      <c r="AK24" s="56" t="n"/>
      <c r="AL24" s="56" t="n"/>
      <c r="AM24" s="56" t="n"/>
    </row>
    <row r="25">
      <c r="A25" s="56" t="n"/>
      <c r="B25" s="56" t="n"/>
      <c r="C25" s="56" t="n"/>
      <c r="D25" s="56" t="n"/>
      <c r="E25" s="56" t="n"/>
      <c r="F25" s="56" t="n"/>
      <c r="G25" s="56" t="n"/>
      <c r="H25" s="56" t="n"/>
      <c r="I25" s="56" t="n"/>
      <c r="J25" s="56" t="n"/>
      <c r="K25" s="56" t="n"/>
      <c r="L25" s="56" t="n"/>
      <c r="M25" s="56" t="n"/>
      <c r="N25" s="56" t="n"/>
      <c r="O25" s="56" t="n"/>
      <c r="P25" s="56" t="n"/>
      <c r="Q25" s="56" t="n"/>
      <c r="R25" s="56" t="n"/>
      <c r="S25" s="56" t="n"/>
      <c r="T25" s="56" t="n"/>
      <c r="U25" s="56" t="n"/>
      <c r="V25" s="56" t="n"/>
      <c r="W25" s="56" t="n"/>
      <c r="X25" s="56" t="n"/>
      <c r="Y25" s="56" t="n"/>
      <c r="Z25" s="56" t="n"/>
      <c r="AA25" s="56" t="n"/>
      <c r="AB25" s="56" t="n"/>
      <c r="AC25" s="56" t="n"/>
      <c r="AD25" s="56" t="n"/>
      <c r="AE25" s="56" t="n"/>
      <c r="AF25" s="56" t="n"/>
      <c r="AG25" s="56" t="n"/>
      <c r="AH25" s="56" t="n"/>
      <c r="AI25" s="56" t="n"/>
      <c r="AJ25" s="56" t="n"/>
      <c r="AK25" s="56" t="n"/>
      <c r="AL25" s="56" t="n"/>
      <c r="AM25" s="56" t="n"/>
    </row>
    <row r="26">
      <c r="A26" s="56" t="n"/>
      <c r="B26" s="56" t="n"/>
      <c r="C26" s="56" t="n"/>
      <c r="D26" s="56" t="n"/>
      <c r="E26" s="56" t="n"/>
      <c r="F26" s="56" t="n"/>
      <c r="G26" s="56" t="n"/>
      <c r="H26" s="56" t="n"/>
      <c r="I26" s="56" t="n"/>
      <c r="J26" s="56" t="n"/>
      <c r="K26" s="56" t="n"/>
      <c r="L26" s="56" t="n"/>
      <c r="M26" s="56" t="n"/>
      <c r="N26" s="56" t="n"/>
      <c r="O26" s="56" t="n"/>
      <c r="P26" s="56" t="n"/>
      <c r="Q26" s="56" t="n"/>
      <c r="R26" s="56" t="n"/>
      <c r="S26" s="56" t="n"/>
      <c r="T26" s="56" t="n"/>
      <c r="U26" s="56" t="n"/>
      <c r="V26" s="56" t="n"/>
      <c r="W26" s="56" t="n"/>
      <c r="X26" s="56" t="n"/>
      <c r="Y26" s="56" t="n"/>
      <c r="Z26" s="56" t="n"/>
      <c r="AA26" s="56" t="n"/>
      <c r="AB26" s="56" t="n"/>
      <c r="AC26" s="56" t="n"/>
      <c r="AD26" s="56" t="n"/>
      <c r="AE26" s="56" t="n"/>
      <c r="AF26" s="56" t="n"/>
      <c r="AG26" s="56" t="n"/>
      <c r="AH26" s="56" t="n"/>
      <c r="AI26" s="56" t="n"/>
      <c r="AJ26" s="56" t="n"/>
      <c r="AK26" s="56" t="n"/>
      <c r="AL26" s="56" t="n"/>
      <c r="AM26" s="56" t="n"/>
    </row>
    <row r="27">
      <c r="A27" s="56" t="n"/>
      <c r="B27" s="56" t="n"/>
      <c r="C27" s="56" t="n"/>
      <c r="D27" s="56" t="n"/>
      <c r="E27" s="56" t="n"/>
      <c r="F27" s="56" t="n"/>
      <c r="G27" s="56" t="n"/>
      <c r="H27" s="56" t="n"/>
      <c r="I27" s="56" t="n"/>
      <c r="J27" s="56" t="n"/>
      <c r="K27" s="56" t="n"/>
      <c r="L27" s="56" t="n"/>
      <c r="M27" s="56" t="n"/>
      <c r="N27" s="56" t="n"/>
      <c r="O27" s="56" t="n"/>
      <c r="P27" s="56" t="n"/>
      <c r="Q27" s="56" t="n"/>
      <c r="R27" s="56" t="n"/>
      <c r="S27" s="56" t="n"/>
      <c r="T27" s="56" t="n"/>
      <c r="U27" s="56" t="n"/>
      <c r="V27" s="56" t="n"/>
      <c r="W27" s="56" t="n"/>
      <c r="X27" s="56" t="n"/>
      <c r="Y27" s="56" t="n"/>
      <c r="Z27" s="56" t="n"/>
      <c r="AA27" s="56" t="n"/>
      <c r="AB27" s="56" t="n"/>
      <c r="AC27" s="56" t="n"/>
      <c r="AD27" s="56" t="n"/>
      <c r="AE27" s="56" t="n"/>
      <c r="AF27" s="56" t="n"/>
      <c r="AG27" s="56" t="n"/>
      <c r="AH27" s="56" t="n"/>
      <c r="AI27" s="56" t="n"/>
      <c r="AJ27" s="56" t="n"/>
      <c r="AK27" s="56" t="n"/>
      <c r="AL27" s="56" t="n"/>
      <c r="AM27" s="56" t="n"/>
    </row>
    <row r="28">
      <c r="A28" s="56" t="n"/>
      <c r="B28" s="56" t="n"/>
      <c r="C28" s="56" t="n"/>
      <c r="D28" s="56" t="n"/>
      <c r="E28" s="56" t="n"/>
      <c r="F28" s="56" t="n"/>
      <c r="G28" s="56" t="n"/>
      <c r="H28" s="56" t="n"/>
      <c r="I28" s="56" t="n"/>
      <c r="J28" s="56" t="n"/>
      <c r="K28" s="56" t="n"/>
      <c r="L28" s="56" t="n"/>
      <c r="M28" s="56" t="n"/>
      <c r="N28" s="56" t="n"/>
      <c r="O28" s="56" t="n"/>
      <c r="P28" s="56" t="n"/>
      <c r="Q28" s="56" t="n"/>
      <c r="R28" s="56" t="n"/>
      <c r="S28" s="56" t="n"/>
      <c r="T28" s="56" t="n"/>
      <c r="U28" s="56" t="n"/>
      <c r="V28" s="56" t="n"/>
      <c r="W28" s="56" t="n"/>
      <c r="X28" s="56" t="n"/>
      <c r="Y28" s="56" t="n"/>
      <c r="Z28" s="56" t="n"/>
      <c r="AA28" s="56" t="n"/>
      <c r="AB28" s="56" t="n"/>
      <c r="AC28" s="56" t="n"/>
      <c r="AD28" s="56" t="n"/>
      <c r="AE28" s="56" t="n"/>
      <c r="AF28" s="56" t="n"/>
      <c r="AG28" s="56" t="n"/>
      <c r="AH28" s="56" t="n"/>
      <c r="AI28" s="56" t="n"/>
      <c r="AJ28" s="56" t="n"/>
      <c r="AK28" s="56" t="n"/>
      <c r="AL28" s="56" t="n"/>
      <c r="AM28" s="56" t="n"/>
    </row>
    <row r="29">
      <c r="A29" s="56" t="n"/>
      <c r="B29" s="56" t="n"/>
      <c r="C29" s="56" t="n"/>
      <c r="D29" s="56" t="n"/>
      <c r="E29" s="56" t="n"/>
      <c r="F29" s="56" t="n"/>
      <c r="G29" s="56" t="n"/>
      <c r="H29" s="56" t="n"/>
      <c r="I29" s="56" t="n"/>
      <c r="J29" s="56" t="n"/>
      <c r="K29" s="56" t="n"/>
      <c r="L29" s="56" t="n"/>
      <c r="M29" s="56" t="n"/>
      <c r="N29" s="56" t="n"/>
      <c r="O29" s="56" t="n"/>
      <c r="P29" s="56" t="n"/>
      <c r="Q29" s="56" t="n"/>
      <c r="R29" s="56" t="n"/>
      <c r="S29" s="56" t="n"/>
      <c r="T29" s="56" t="n"/>
      <c r="U29" s="56" t="n"/>
      <c r="V29" s="56" t="n"/>
      <c r="W29" s="56" t="n"/>
      <c r="X29" s="56" t="n"/>
      <c r="Y29" s="56" t="n"/>
      <c r="Z29" s="56" t="n"/>
      <c r="AA29" s="56" t="n"/>
      <c r="AB29" s="56" t="n"/>
      <c r="AC29" s="56" t="n"/>
      <c r="AD29" s="56" t="n"/>
      <c r="AE29" s="56" t="n"/>
      <c r="AF29" s="56" t="n"/>
      <c r="AG29" s="56" t="n"/>
      <c r="AH29" s="56" t="n"/>
      <c r="AI29" s="56" t="n"/>
      <c r="AJ29" s="56" t="n"/>
      <c r="AK29" s="56" t="n"/>
      <c r="AL29" s="56" t="n"/>
      <c r="AM29" s="56" t="n"/>
    </row>
    <row r="30">
      <c r="A30" s="56" t="n"/>
      <c r="B30" s="56" t="n"/>
      <c r="C30" s="56" t="n"/>
      <c r="D30" s="56" t="n"/>
      <c r="E30" s="56" t="n"/>
      <c r="F30" s="56" t="n"/>
      <c r="G30" s="56" t="n"/>
      <c r="H30" s="56" t="n"/>
      <c r="I30" s="56" t="n"/>
      <c r="J30" s="56" t="n"/>
      <c r="K30" s="56" t="n"/>
      <c r="L30" s="56" t="n"/>
      <c r="M30" s="56" t="n"/>
      <c r="N30" s="56" t="n"/>
      <c r="O30" s="56" t="n"/>
      <c r="P30" s="56" t="n"/>
      <c r="Q30" s="56" t="n"/>
      <c r="R30" s="56" t="n"/>
      <c r="S30" s="56" t="n"/>
      <c r="T30" s="56" t="n"/>
      <c r="U30" s="56" t="n"/>
      <c r="V30" s="56" t="n"/>
      <c r="W30" s="56" t="n"/>
      <c r="X30" s="56" t="n"/>
      <c r="Y30" s="56" t="n"/>
      <c r="Z30" s="56" t="n"/>
      <c r="AA30" s="56" t="n"/>
      <c r="AB30" s="56" t="n"/>
      <c r="AC30" s="56" t="n"/>
      <c r="AD30" s="56" t="n"/>
      <c r="AE30" s="56" t="n"/>
      <c r="AF30" s="56" t="n"/>
      <c r="AG30" s="56" t="n"/>
      <c r="AH30" s="56" t="n"/>
      <c r="AI30" s="56" t="n"/>
      <c r="AJ30" s="56" t="n"/>
      <c r="AK30" s="56" t="n"/>
      <c r="AL30" s="56" t="n"/>
      <c r="AM30" s="56" t="n"/>
    </row>
    <row r="31">
      <c r="A31" s="56" t="n"/>
      <c r="B31" s="56" t="n"/>
      <c r="C31" s="56" t="n"/>
      <c r="D31" s="56" t="n"/>
      <c r="E31" s="56" t="n"/>
      <c r="F31" s="56" t="n"/>
      <c r="G31" s="56" t="n"/>
      <c r="H31" s="56" t="n"/>
      <c r="I31" s="56" t="n"/>
      <c r="J31" s="56" t="n"/>
      <c r="K31" s="56" t="n"/>
      <c r="L31" s="56" t="n"/>
      <c r="M31" s="56" t="n"/>
      <c r="N31" s="56" t="n"/>
      <c r="O31" s="56" t="n"/>
      <c r="P31" s="56" t="n"/>
      <c r="Q31" s="56" t="n"/>
      <c r="R31" s="56" t="n"/>
      <c r="S31" s="56" t="n"/>
      <c r="T31" s="56" t="n"/>
      <c r="U31" s="56" t="n"/>
      <c r="V31" s="56" t="n"/>
      <c r="W31" s="56" t="n"/>
      <c r="X31" s="56" t="n"/>
      <c r="Y31" s="56" t="n"/>
      <c r="Z31" s="56" t="n"/>
      <c r="AA31" s="56" t="n"/>
      <c r="AB31" s="56" t="n"/>
      <c r="AC31" s="56" t="n"/>
      <c r="AD31" s="56" t="n"/>
      <c r="AE31" s="56" t="n"/>
      <c r="AF31" s="56" t="n"/>
      <c r="AG31" s="56" t="n"/>
      <c r="AH31" s="56" t="n"/>
      <c r="AI31" s="56" t="n"/>
      <c r="AJ31" s="56" t="n"/>
      <c r="AK31" s="56" t="n"/>
      <c r="AL31" s="56" t="n"/>
      <c r="AM31" s="56" t="n"/>
    </row>
    <row r="32">
      <c r="A32" s="56" t="n"/>
      <c r="B32" s="56" t="n"/>
      <c r="C32" s="56" t="n"/>
      <c r="D32" s="56" t="n"/>
      <c r="E32" s="56" t="n"/>
      <c r="F32" s="56" t="n"/>
      <c r="G32" s="56" t="n"/>
      <c r="H32" s="56" t="n"/>
      <c r="I32" s="56" t="n"/>
      <c r="J32" s="56" t="n"/>
      <c r="K32" s="56" t="n"/>
      <c r="L32" s="56" t="n"/>
      <c r="M32" s="56" t="n"/>
      <c r="N32" s="56" t="n"/>
      <c r="O32" s="56" t="n"/>
      <c r="P32" s="56" t="n"/>
      <c r="Q32" s="56" t="n"/>
      <c r="R32" s="56" t="n"/>
      <c r="S32" s="56" t="n"/>
      <c r="T32" s="56" t="n"/>
      <c r="U32" s="56" t="n"/>
      <c r="V32" s="56" t="n"/>
      <c r="W32" s="56" t="n"/>
      <c r="X32" s="56" t="n"/>
      <c r="Y32" s="56" t="n"/>
      <c r="Z32" s="56" t="n"/>
      <c r="AA32" s="56" t="n"/>
      <c r="AB32" s="56" t="n"/>
      <c r="AC32" s="56" t="n"/>
      <c r="AD32" s="56" t="n"/>
      <c r="AE32" s="56" t="n"/>
      <c r="AF32" s="56" t="n"/>
      <c r="AG32" s="56" t="n"/>
      <c r="AH32" s="56" t="n"/>
      <c r="AI32" s="56" t="n"/>
      <c r="AJ32" s="56" t="n"/>
      <c r="AK32" s="56" t="n"/>
      <c r="AL32" s="56" t="n"/>
      <c r="AM32" s="56" t="n"/>
    </row>
    <row r="33">
      <c r="A33" s="56" t="n"/>
      <c r="B33" s="56" t="n"/>
      <c r="C33" s="56" t="n"/>
      <c r="D33" s="56" t="n"/>
      <c r="E33" s="56" t="n"/>
      <c r="F33" s="56" t="n"/>
      <c r="G33" s="56" t="n"/>
      <c r="H33" s="56" t="n"/>
      <c r="I33" s="56" t="n"/>
      <c r="J33" s="56" t="n"/>
      <c r="K33" s="56" t="n"/>
      <c r="L33" s="56" t="n"/>
      <c r="M33" s="56" t="n"/>
      <c r="N33" s="56" t="n"/>
      <c r="O33" s="56" t="n"/>
      <c r="P33" s="56" t="n"/>
      <c r="Q33" s="56" t="n"/>
      <c r="R33" s="56" t="n"/>
      <c r="S33" s="56" t="n"/>
      <c r="T33" s="56" t="n"/>
      <c r="U33" s="56" t="n"/>
      <c r="V33" s="56" t="n"/>
      <c r="W33" s="56" t="n"/>
      <c r="X33" s="56" t="n"/>
      <c r="Y33" s="56" t="n"/>
      <c r="Z33" s="56" t="n"/>
      <c r="AA33" s="56" t="n"/>
      <c r="AB33" s="56" t="n"/>
      <c r="AC33" s="56" t="n"/>
      <c r="AD33" s="56" t="n"/>
      <c r="AE33" s="56" t="n"/>
      <c r="AF33" s="56" t="n"/>
      <c r="AG33" s="56" t="n"/>
      <c r="AH33" s="56" t="n"/>
      <c r="AI33" s="56" t="n"/>
      <c r="AJ33" s="56" t="n"/>
      <c r="AK33" s="56" t="n"/>
      <c r="AL33" s="56" t="n"/>
      <c r="AM33" s="56" t="n"/>
    </row>
    <row r="34">
      <c r="A34" s="56" t="n"/>
      <c r="B34" s="56" t="n"/>
      <c r="C34" s="56" t="n"/>
      <c r="D34" s="56" t="n"/>
      <c r="E34" s="56" t="n"/>
      <c r="F34" s="56" t="n"/>
      <c r="G34" s="56" t="n"/>
      <c r="H34" s="56" t="n"/>
      <c r="I34" s="56" t="n"/>
      <c r="J34" s="56" t="n"/>
      <c r="K34" s="56" t="n"/>
      <c r="L34" s="56" t="n"/>
      <c r="M34" s="56" t="n"/>
      <c r="N34" s="56" t="n"/>
      <c r="O34" s="56" t="n"/>
      <c r="P34" s="56" t="n"/>
      <c r="Q34" s="56" t="n"/>
      <c r="R34" s="56" t="n"/>
      <c r="S34" s="56" t="n"/>
      <c r="T34" s="56" t="n"/>
      <c r="U34" s="56" t="n"/>
      <c r="V34" s="56" t="n"/>
      <c r="W34" s="56" t="n"/>
      <c r="X34" s="56" t="n"/>
      <c r="Y34" s="56" t="n"/>
      <c r="Z34" s="56" t="n"/>
      <c r="AA34" s="56" t="n"/>
      <c r="AB34" s="56" t="n"/>
      <c r="AC34" s="56" t="n"/>
      <c r="AD34" s="56" t="n"/>
      <c r="AE34" s="56" t="n"/>
      <c r="AF34" s="56" t="n"/>
      <c r="AG34" s="56" t="n"/>
      <c r="AH34" s="56" t="n"/>
      <c r="AI34" s="56" t="n"/>
      <c r="AJ34" s="56" t="n"/>
      <c r="AK34" s="56" t="n"/>
      <c r="AL34" s="56" t="n"/>
      <c r="AM34" s="56" t="n"/>
    </row>
    <row r="35">
      <c r="A35" s="56" t="n"/>
      <c r="B35" s="56" t="n"/>
      <c r="C35" s="56" t="n"/>
      <c r="D35" s="56" t="n"/>
      <c r="E35" s="56" t="n"/>
      <c r="F35" s="56" t="n"/>
      <c r="G35" s="56" t="n"/>
      <c r="H35" s="56" t="n"/>
      <c r="I35" s="56" t="n"/>
      <c r="J35" s="56" t="n"/>
      <c r="K35" s="56" t="n"/>
      <c r="L35" s="56" t="n"/>
      <c r="M35" s="56" t="n"/>
      <c r="N35" s="56" t="n"/>
      <c r="O35" s="56" t="n"/>
      <c r="P35" s="56" t="n"/>
      <c r="Q35" s="56" t="n"/>
      <c r="R35" s="56" t="n"/>
      <c r="S35" s="56" t="n"/>
      <c r="T35" s="56" t="n"/>
      <c r="U35" s="56" t="n"/>
      <c r="V35" s="56" t="n"/>
      <c r="W35" s="56" t="n"/>
      <c r="X35" s="56" t="n"/>
      <c r="Y35" s="56" t="n"/>
      <c r="Z35" s="56" t="n"/>
      <c r="AA35" s="56" t="n"/>
      <c r="AB35" s="56" t="n"/>
      <c r="AC35" s="56" t="n"/>
      <c r="AD35" s="56" t="n"/>
      <c r="AE35" s="56" t="n"/>
      <c r="AF35" s="56" t="n"/>
      <c r="AG35" s="56" t="n"/>
      <c r="AH35" s="56" t="n"/>
      <c r="AI35" s="56" t="n"/>
      <c r="AJ35" s="56" t="n"/>
      <c r="AK35" s="56" t="n"/>
      <c r="AL35" s="56" t="n"/>
      <c r="AM35" s="56" t="n"/>
    </row>
    <row r="36">
      <c r="A36" s="56" t="n"/>
      <c r="B36" s="56" t="n"/>
      <c r="C36" s="56" t="n"/>
      <c r="D36" s="56" t="n"/>
      <c r="E36" s="56" t="n"/>
      <c r="F36" s="56" t="n"/>
      <c r="G36" s="56" t="n"/>
      <c r="H36" s="56" t="n"/>
      <c r="I36" s="56" t="n"/>
      <c r="J36" s="56" t="n"/>
      <c r="K36" s="56" t="n"/>
      <c r="L36" s="56" t="n"/>
      <c r="M36" s="56" t="n"/>
      <c r="N36" s="56" t="n"/>
      <c r="O36" s="56" t="n"/>
      <c r="P36" s="56" t="n"/>
      <c r="Q36" s="56" t="n"/>
      <c r="R36" s="56" t="n"/>
      <c r="S36" s="56" t="n"/>
      <c r="T36" s="56" t="n"/>
      <c r="U36" s="56" t="n"/>
      <c r="V36" s="56" t="n"/>
      <c r="W36" s="56" t="n"/>
      <c r="X36" s="56" t="n"/>
      <c r="Y36" s="56" t="n"/>
      <c r="Z36" s="56" t="n"/>
      <c r="AA36" s="56" t="n"/>
      <c r="AB36" s="56" t="n"/>
      <c r="AC36" s="56" t="n"/>
      <c r="AD36" s="56" t="n"/>
      <c r="AE36" s="56" t="n"/>
      <c r="AF36" s="56" t="n"/>
      <c r="AG36" s="56" t="n"/>
      <c r="AH36" s="56" t="n"/>
      <c r="AI36" s="56" t="n"/>
      <c r="AJ36" s="56" t="n"/>
      <c r="AK36" s="56" t="n"/>
      <c r="AL36" s="56" t="n"/>
      <c r="AM36" s="56" t="n"/>
    </row>
    <row r="37">
      <c r="A37" s="56" t="n"/>
      <c r="B37" s="56" t="n"/>
      <c r="C37" s="56" t="n"/>
      <c r="D37" s="56" t="n"/>
      <c r="E37" s="56" t="n"/>
      <c r="F37" s="56" t="n"/>
      <c r="G37" s="56" t="n"/>
      <c r="H37" s="56" t="n"/>
      <c r="I37" s="56" t="n"/>
      <c r="J37" s="56" t="n"/>
      <c r="K37" s="56" t="n"/>
      <c r="L37" s="56" t="n"/>
      <c r="M37" s="56" t="n"/>
      <c r="N37" s="56" t="n"/>
      <c r="O37" s="56" t="n"/>
      <c r="P37" s="56" t="n"/>
      <c r="Q37" s="56" t="n"/>
      <c r="R37" s="56" t="n"/>
      <c r="S37" s="56" t="n"/>
      <c r="T37" s="56" t="n"/>
      <c r="U37" s="56" t="n"/>
      <c r="V37" s="56" t="n"/>
      <c r="W37" s="56" t="n"/>
      <c r="X37" s="56" t="n"/>
      <c r="Y37" s="56" t="n"/>
      <c r="Z37" s="56" t="n"/>
      <c r="AA37" s="56" t="n"/>
      <c r="AB37" s="56" t="n"/>
      <c r="AC37" s="56" t="n"/>
      <c r="AD37" s="56" t="n"/>
      <c r="AE37" s="56" t="n"/>
      <c r="AF37" s="56" t="n"/>
      <c r="AG37" s="56" t="n"/>
      <c r="AH37" s="56" t="n"/>
      <c r="AI37" s="56" t="n"/>
      <c r="AJ37" s="56" t="n"/>
      <c r="AK37" s="56" t="n"/>
      <c r="AL37" s="56" t="n"/>
      <c r="AM37" s="56" t="n"/>
    </row>
    <row r="38">
      <c r="A38" s="56" t="n"/>
      <c r="B38" s="56" t="n"/>
      <c r="C38" s="56" t="n"/>
      <c r="D38" s="56" t="n"/>
      <c r="E38" s="56" t="n"/>
      <c r="F38" s="56" t="n"/>
      <c r="G38" s="56" t="n"/>
      <c r="H38" s="56" t="n"/>
      <c r="I38" s="56" t="n"/>
      <c r="J38" s="56" t="n"/>
      <c r="K38" s="56" t="n"/>
      <c r="L38" s="56" t="n"/>
      <c r="M38" s="56" t="n"/>
      <c r="N38" s="56" t="n"/>
      <c r="O38" s="56" t="n"/>
      <c r="P38" s="56" t="n"/>
      <c r="Q38" s="56" t="n"/>
      <c r="R38" s="56" t="n"/>
      <c r="S38" s="56" t="n"/>
      <c r="T38" s="56" t="n"/>
      <c r="U38" s="56" t="n"/>
      <c r="V38" s="56" t="n"/>
      <c r="W38" s="56" t="n"/>
      <c r="X38" s="56" t="n"/>
      <c r="Y38" s="56" t="n"/>
      <c r="Z38" s="56" t="n"/>
      <c r="AA38" s="56" t="n"/>
      <c r="AB38" s="56" t="n"/>
      <c r="AC38" s="56" t="n"/>
      <c r="AD38" s="56" t="n"/>
      <c r="AE38" s="56" t="n"/>
      <c r="AF38" s="56" t="n"/>
      <c r="AG38" s="56" t="n"/>
      <c r="AH38" s="56" t="n"/>
      <c r="AI38" s="56" t="n"/>
      <c r="AJ38" s="56" t="n"/>
      <c r="AK38" s="56" t="n"/>
      <c r="AL38" s="56" t="n"/>
      <c r="AM38" s="56" t="n"/>
    </row>
    <row r="39">
      <c r="A39" s="56" t="n"/>
      <c r="B39" s="56" t="n"/>
      <c r="C39" s="56" t="n"/>
      <c r="D39" s="56" t="n"/>
      <c r="E39" s="56" t="n"/>
      <c r="F39" s="56" t="n"/>
      <c r="G39" s="56" t="n"/>
      <c r="H39" s="56" t="n"/>
      <c r="I39" s="56" t="n"/>
      <c r="J39" s="56" t="n"/>
      <c r="K39" s="56" t="n"/>
      <c r="L39" s="56" t="n"/>
      <c r="M39" s="56" t="n"/>
      <c r="N39" s="56" t="n"/>
      <c r="O39" s="56" t="n"/>
      <c r="P39" s="56" t="n"/>
      <c r="Q39" s="56" t="n"/>
      <c r="R39" s="56" t="n"/>
      <c r="S39" s="56" t="n"/>
      <c r="T39" s="56" t="n"/>
      <c r="U39" s="56" t="n"/>
      <c r="V39" s="56" t="n"/>
      <c r="W39" s="56" t="n"/>
      <c r="X39" s="56" t="n"/>
      <c r="Y39" s="56" t="n"/>
      <c r="Z39" s="56" t="n"/>
      <c r="AA39" s="56" t="n"/>
      <c r="AB39" s="56" t="n"/>
      <c r="AC39" s="56" t="n"/>
      <c r="AD39" s="56" t="n"/>
      <c r="AE39" s="56" t="n"/>
      <c r="AF39" s="56" t="n"/>
      <c r="AG39" s="56" t="n"/>
      <c r="AH39" s="56" t="n"/>
      <c r="AI39" s="56" t="n"/>
      <c r="AJ39" s="56" t="n"/>
      <c r="AK39" s="56" t="n"/>
      <c r="AL39" s="56" t="n"/>
      <c r="AM39" s="56" t="n"/>
    </row>
    <row r="40">
      <c r="A40" s="56" t="n"/>
      <c r="B40" s="56" t="n"/>
      <c r="C40" s="56" t="n"/>
      <c r="D40" s="56" t="n"/>
      <c r="E40" s="56" t="n"/>
      <c r="F40" s="56" t="n"/>
      <c r="G40" s="56" t="n"/>
      <c r="H40" s="56" t="n"/>
      <c r="I40" s="56" t="n"/>
      <c r="J40" s="56" t="n"/>
      <c r="K40" s="56" t="n"/>
      <c r="L40" s="56" t="n"/>
      <c r="M40" s="56" t="n"/>
      <c r="N40" s="56" t="n"/>
      <c r="O40" s="56" t="n"/>
      <c r="P40" s="56" t="n"/>
      <c r="Q40" s="56" t="n"/>
      <c r="R40" s="56" t="n"/>
      <c r="S40" s="56" t="n"/>
      <c r="T40" s="56" t="n"/>
      <c r="U40" s="56" t="n"/>
      <c r="V40" s="56" t="n"/>
      <c r="W40" s="56" t="n"/>
      <c r="X40" s="56" t="n"/>
      <c r="Y40" s="56" t="n"/>
      <c r="Z40" s="56" t="n"/>
      <c r="AA40" s="56" t="n"/>
      <c r="AB40" s="56" t="n"/>
      <c r="AC40" s="56" t="n"/>
      <c r="AD40" s="56" t="n"/>
      <c r="AE40" s="56" t="n"/>
      <c r="AF40" s="56" t="n"/>
      <c r="AG40" s="56" t="n"/>
      <c r="AH40" s="56" t="n"/>
      <c r="AI40" s="56" t="n"/>
      <c r="AJ40" s="56" t="n"/>
      <c r="AK40" s="56" t="n"/>
      <c r="AL40" s="56" t="n"/>
      <c r="AM40" s="56" t="n"/>
    </row>
    <row r="41">
      <c r="A41" s="56" t="n"/>
      <c r="B41" s="56" t="n"/>
      <c r="C41" s="56" t="n"/>
      <c r="D41" s="56" t="n"/>
      <c r="E41" s="56" t="n"/>
      <c r="F41" s="56" t="n"/>
      <c r="G41" s="56" t="n"/>
      <c r="H41" s="56" t="n"/>
      <c r="I41" s="56" t="n"/>
      <c r="J41" s="56" t="n"/>
      <c r="K41" s="56" t="n"/>
      <c r="L41" s="56" t="n"/>
      <c r="M41" s="56" t="n"/>
      <c r="N41" s="56" t="n"/>
      <c r="O41" s="56" t="n"/>
      <c r="P41" s="56" t="n"/>
      <c r="Q41" s="56" t="n"/>
      <c r="R41" s="56" t="n"/>
      <c r="S41" s="56" t="n"/>
      <c r="T41" s="56" t="n"/>
      <c r="U41" s="56" t="n"/>
      <c r="V41" s="56" t="n"/>
      <c r="W41" s="56" t="n"/>
      <c r="X41" s="56" t="n"/>
      <c r="Y41" s="56" t="n"/>
      <c r="Z41" s="56" t="n"/>
      <c r="AA41" s="56" t="n"/>
      <c r="AB41" s="56" t="n"/>
      <c r="AC41" s="56" t="n"/>
      <c r="AD41" s="56" t="n"/>
      <c r="AE41" s="56" t="n"/>
      <c r="AF41" s="56" t="n"/>
      <c r="AG41" s="56" t="n"/>
      <c r="AH41" s="56" t="n"/>
      <c r="AI41" s="56" t="n"/>
      <c r="AJ41" s="56" t="n"/>
      <c r="AK41" s="56" t="n"/>
      <c r="AL41" s="56" t="n"/>
      <c r="AM41" s="56" t="n"/>
    </row>
    <row r="42">
      <c r="A42" s="56" t="n"/>
      <c r="B42" s="56" t="n"/>
      <c r="C42" s="56" t="n"/>
      <c r="D42" s="56" t="n"/>
      <c r="E42" s="56" t="n"/>
      <c r="F42" s="56" t="n"/>
      <c r="G42" s="56" t="n"/>
      <c r="H42" s="56" t="n"/>
      <c r="I42" s="56" t="n"/>
      <c r="J42" s="56" t="n"/>
      <c r="K42" s="56" t="n"/>
      <c r="L42" s="56" t="n"/>
      <c r="M42" s="56" t="n"/>
      <c r="N42" s="56" t="n"/>
      <c r="O42" s="56" t="n"/>
      <c r="P42" s="56" t="n"/>
      <c r="Q42" s="56" t="n"/>
      <c r="R42" s="56" t="n"/>
      <c r="S42" s="56" t="n"/>
      <c r="T42" s="56" t="n"/>
      <c r="U42" s="56" t="n"/>
      <c r="V42" s="56" t="n"/>
      <c r="W42" s="56" t="n"/>
      <c r="X42" s="56" t="n"/>
      <c r="Y42" s="56" t="n"/>
      <c r="Z42" s="56" t="n"/>
      <c r="AA42" s="56" t="n"/>
      <c r="AB42" s="56" t="n"/>
      <c r="AC42" s="56" t="n"/>
      <c r="AD42" s="56" t="n"/>
      <c r="AE42" s="56" t="n"/>
      <c r="AF42" s="56" t="n"/>
      <c r="AG42" s="56" t="n"/>
      <c r="AH42" s="56" t="n"/>
      <c r="AI42" s="56" t="n"/>
      <c r="AJ42" s="56" t="n"/>
      <c r="AK42" s="56" t="n"/>
      <c r="AL42" s="56" t="n"/>
      <c r="AM42" s="56" t="n"/>
    </row>
    <row r="43">
      <c r="A43" s="56" t="n"/>
      <c r="B43" s="56" t="n"/>
      <c r="C43" s="56" t="n"/>
      <c r="D43" s="56" t="n"/>
      <c r="E43" s="56" t="n"/>
      <c r="F43" s="56" t="n"/>
      <c r="G43" s="56" t="n"/>
      <c r="H43" s="56" t="n"/>
      <c r="I43" s="56" t="n"/>
      <c r="J43" s="56" t="n"/>
      <c r="K43" s="56" t="n"/>
      <c r="L43" s="56" t="n"/>
      <c r="M43" s="56" t="n"/>
      <c r="N43" s="56" t="n"/>
      <c r="O43" s="56" t="n"/>
      <c r="P43" s="56" t="n"/>
      <c r="Q43" s="56" t="n"/>
      <c r="R43" s="56" t="n"/>
      <c r="S43" s="56" t="n"/>
      <c r="T43" s="56" t="n"/>
      <c r="U43" s="56" t="n"/>
      <c r="V43" s="56" t="n"/>
      <c r="W43" s="56" t="n"/>
      <c r="X43" s="56" t="n"/>
      <c r="Y43" s="56" t="n"/>
      <c r="Z43" s="56" t="n"/>
      <c r="AA43" s="56" t="n"/>
      <c r="AB43" s="56" t="n"/>
      <c r="AC43" s="56" t="n"/>
      <c r="AD43" s="56" t="n"/>
      <c r="AE43" s="56" t="n"/>
      <c r="AF43" s="56" t="n"/>
      <c r="AG43" s="56" t="n"/>
      <c r="AH43" s="56" t="n"/>
      <c r="AI43" s="56" t="n"/>
      <c r="AJ43" s="56" t="n"/>
      <c r="AK43" s="56" t="n"/>
      <c r="AL43" s="56" t="n"/>
      <c r="AM43" s="56" t="n"/>
    </row>
    <row r="44">
      <c r="A44" s="56" t="n"/>
      <c r="B44" s="56" t="n"/>
      <c r="C44" s="56" t="n"/>
      <c r="D44" s="56" t="n"/>
      <c r="E44" s="56" t="n"/>
      <c r="F44" s="56" t="n"/>
      <c r="G44" s="56" t="n"/>
      <c r="H44" s="56" t="n"/>
      <c r="I44" s="56" t="n"/>
      <c r="J44" s="56" t="n"/>
      <c r="K44" s="56" t="n"/>
      <c r="L44" s="56" t="n"/>
      <c r="M44" s="56" t="n"/>
      <c r="N44" s="56" t="n"/>
      <c r="O44" s="56" t="n"/>
      <c r="P44" s="56" t="n"/>
      <c r="Q44" s="56" t="n"/>
      <c r="R44" s="56" t="n"/>
      <c r="S44" s="56" t="n"/>
      <c r="T44" s="56" t="n"/>
      <c r="U44" s="56" t="n"/>
      <c r="V44" s="56" t="n"/>
      <c r="W44" s="56" t="n"/>
      <c r="X44" s="56" t="n"/>
      <c r="Y44" s="56" t="n"/>
      <c r="Z44" s="56" t="n"/>
      <c r="AA44" s="56" t="n"/>
      <c r="AB44" s="56" t="n"/>
      <c r="AC44" s="56" t="n"/>
      <c r="AD44" s="56" t="n"/>
      <c r="AE44" s="56" t="n"/>
      <c r="AF44" s="56" t="n"/>
      <c r="AG44" s="56" t="n"/>
      <c r="AH44" s="56" t="n"/>
      <c r="AI44" s="56" t="n"/>
      <c r="AJ44" s="56" t="n"/>
      <c r="AK44" s="56" t="n"/>
      <c r="AL44" s="56" t="n"/>
      <c r="AM44" s="56" t="n"/>
    </row>
    <row r="45">
      <c r="A45" s="56" t="n"/>
      <c r="B45" s="56" t="n"/>
      <c r="C45" s="56" t="n"/>
      <c r="D45" s="56" t="n"/>
      <c r="E45" s="56" t="n"/>
      <c r="F45" s="56" t="n"/>
      <c r="G45" s="56" t="n"/>
      <c r="H45" s="56" t="n"/>
      <c r="I45" s="56" t="n"/>
      <c r="J45" s="56" t="n"/>
      <c r="K45" s="56" t="n"/>
      <c r="L45" s="56" t="n"/>
      <c r="M45" s="56" t="n"/>
      <c r="N45" s="56" t="n"/>
      <c r="O45" s="56" t="n"/>
      <c r="P45" s="56" t="n"/>
      <c r="Q45" s="56" t="n"/>
      <c r="R45" s="56" t="n"/>
      <c r="S45" s="56" t="n"/>
      <c r="T45" s="56" t="n"/>
      <c r="U45" s="56" t="n"/>
      <c r="V45" s="56" t="n"/>
      <c r="W45" s="56" t="n"/>
      <c r="X45" s="56" t="n"/>
      <c r="Y45" s="56" t="n"/>
      <c r="Z45" s="56" t="n"/>
      <c r="AA45" s="56" t="n"/>
      <c r="AB45" s="56" t="n"/>
      <c r="AC45" s="56" t="n"/>
      <c r="AD45" s="56" t="n"/>
      <c r="AE45" s="56" t="n"/>
      <c r="AF45" s="56" t="n"/>
      <c r="AG45" s="56" t="n"/>
      <c r="AH45" s="56" t="n"/>
      <c r="AI45" s="56" t="n"/>
      <c r="AJ45" s="56" t="n"/>
      <c r="AK45" s="56" t="n"/>
      <c r="AL45" s="56" t="n"/>
      <c r="AM45" s="56" t="n"/>
    </row>
    <row r="46">
      <c r="A46" s="56" t="n"/>
      <c r="B46" s="56" t="n"/>
      <c r="C46" s="56" t="n"/>
      <c r="D46" s="56" t="n"/>
      <c r="E46" s="56" t="n"/>
      <c r="F46" s="56" t="n"/>
      <c r="G46" s="56" t="n"/>
      <c r="H46" s="56" t="n"/>
      <c r="I46" s="56" t="n"/>
      <c r="J46" s="56" t="n"/>
      <c r="K46" s="56" t="n"/>
      <c r="L46" s="56" t="n"/>
      <c r="M46" s="56" t="n"/>
      <c r="N46" s="56" t="n"/>
      <c r="O46" s="56" t="n"/>
      <c r="P46" s="56" t="n"/>
      <c r="Q46" s="56" t="n"/>
      <c r="R46" s="56" t="n"/>
      <c r="S46" s="56" t="n"/>
      <c r="T46" s="56" t="n"/>
      <c r="U46" s="56" t="n"/>
      <c r="V46" s="56" t="n"/>
      <c r="W46" s="56" t="n"/>
      <c r="X46" s="56" t="n"/>
      <c r="Y46" s="56" t="n"/>
      <c r="Z46" s="56" t="n"/>
      <c r="AA46" s="56" t="n"/>
      <c r="AB46" s="56" t="n"/>
      <c r="AC46" s="56" t="n"/>
      <c r="AD46" s="56" t="n"/>
      <c r="AE46" s="56" t="n"/>
      <c r="AF46" s="56" t="n"/>
      <c r="AG46" s="56" t="n"/>
      <c r="AH46" s="56" t="n"/>
      <c r="AI46" s="56" t="n"/>
      <c r="AJ46" s="56" t="n"/>
      <c r="AK46" s="56" t="n"/>
      <c r="AL46" s="56" t="n"/>
      <c r="AM46" s="56" t="n"/>
    </row>
    <row r="47">
      <c r="A47" s="56" t="n"/>
      <c r="B47" s="56" t="n"/>
      <c r="C47" s="56" t="n"/>
      <c r="D47" s="56" t="n"/>
      <c r="E47" s="56" t="n"/>
      <c r="F47" s="56" t="n"/>
      <c r="G47" s="56" t="n"/>
      <c r="H47" s="56" t="n"/>
      <c r="I47" s="56" t="n"/>
      <c r="J47" s="56" t="n"/>
      <c r="K47" s="56" t="n"/>
      <c r="L47" s="56" t="n"/>
      <c r="M47" s="56" t="n"/>
      <c r="N47" s="56" t="n"/>
      <c r="O47" s="56" t="n"/>
      <c r="P47" s="56" t="n"/>
      <c r="Q47" s="56" t="n"/>
      <c r="R47" s="56" t="n"/>
      <c r="S47" s="56" t="n"/>
      <c r="T47" s="56" t="n"/>
      <c r="U47" s="56" t="n"/>
      <c r="V47" s="56" t="n"/>
      <c r="W47" s="56" t="n"/>
      <c r="X47" s="56" t="n"/>
      <c r="Y47" s="56" t="n"/>
      <c r="Z47" s="56" t="n"/>
      <c r="AA47" s="56" t="n"/>
      <c r="AB47" s="56" t="n"/>
      <c r="AC47" s="56" t="n"/>
      <c r="AD47" s="56" t="n"/>
      <c r="AE47" s="56" t="n"/>
      <c r="AF47" s="56" t="n"/>
      <c r="AG47" s="56" t="n"/>
      <c r="AH47" s="56" t="n"/>
      <c r="AI47" s="56" t="n"/>
      <c r="AJ47" s="56" t="n"/>
      <c r="AK47" s="56" t="n"/>
      <c r="AL47" s="56" t="n"/>
      <c r="AM47" s="56" t="n"/>
    </row>
    <row r="48">
      <c r="A48" s="56" t="n"/>
      <c r="B48" s="56" t="n"/>
      <c r="C48" s="56" t="n"/>
      <c r="D48" s="56" t="n"/>
      <c r="E48" s="56" t="n"/>
      <c r="F48" s="56" t="n"/>
      <c r="G48" s="56" t="n"/>
      <c r="H48" s="56" t="n"/>
      <c r="I48" s="56" t="n"/>
      <c r="J48" s="56" t="n"/>
      <c r="K48" s="56" t="n"/>
      <c r="L48" s="56" t="n"/>
      <c r="M48" s="56" t="n"/>
      <c r="N48" s="56" t="n"/>
      <c r="O48" s="56" t="n"/>
      <c r="P48" s="56" t="n"/>
      <c r="Q48" s="56" t="n"/>
      <c r="R48" s="56" t="n"/>
      <c r="S48" s="56" t="n"/>
      <c r="T48" s="56" t="n"/>
      <c r="U48" s="56" t="n"/>
      <c r="V48" s="56" t="n"/>
      <c r="W48" s="56" t="n"/>
      <c r="X48" s="56" t="n"/>
      <c r="Y48" s="56" t="n"/>
      <c r="Z48" s="56" t="n"/>
      <c r="AA48" s="56" t="n"/>
      <c r="AB48" s="56" t="n"/>
      <c r="AC48" s="56" t="n"/>
      <c r="AD48" s="56" t="n"/>
      <c r="AE48" s="56" t="n"/>
      <c r="AF48" s="56" t="n"/>
      <c r="AG48" s="56" t="n"/>
      <c r="AH48" s="56" t="n"/>
      <c r="AI48" s="56" t="n"/>
      <c r="AJ48" s="56" t="n"/>
      <c r="AK48" s="56" t="n"/>
      <c r="AL48" s="56" t="n"/>
      <c r="AM48" s="56" t="n"/>
    </row>
    <row r="49">
      <c r="A49" s="56" t="n"/>
      <c r="B49" s="56" t="n"/>
      <c r="C49" s="56" t="n"/>
      <c r="D49" s="56" t="n"/>
      <c r="E49" s="56" t="n"/>
      <c r="F49" s="56" t="n"/>
      <c r="G49" s="56" t="n"/>
      <c r="H49" s="56" t="n"/>
      <c r="I49" s="56" t="n"/>
      <c r="J49" s="56" t="n"/>
      <c r="K49" s="56" t="n"/>
      <c r="L49" s="56" t="n"/>
      <c r="M49" s="56" t="n"/>
      <c r="N49" s="56" t="n"/>
      <c r="O49" s="56" t="n"/>
      <c r="P49" s="56" t="n"/>
      <c r="Q49" s="56" t="n"/>
      <c r="R49" s="56" t="n"/>
      <c r="S49" s="56" t="n"/>
      <c r="T49" s="56" t="n"/>
      <c r="U49" s="56" t="n"/>
      <c r="V49" s="56" t="n"/>
      <c r="W49" s="56" t="n"/>
      <c r="X49" s="56" t="n"/>
      <c r="Y49" s="56" t="n"/>
      <c r="Z49" s="56" t="n"/>
      <c r="AA49" s="56" t="n"/>
      <c r="AB49" s="56" t="n"/>
      <c r="AC49" s="56" t="n"/>
      <c r="AD49" s="56" t="n"/>
      <c r="AE49" s="56" t="n"/>
      <c r="AF49" s="56" t="n"/>
      <c r="AG49" s="56" t="n"/>
      <c r="AH49" s="56" t="n"/>
      <c r="AI49" s="56" t="n"/>
      <c r="AJ49" s="56" t="n"/>
      <c r="AK49" s="56" t="n"/>
      <c r="AL49" s="56" t="n"/>
      <c r="AM49" s="56" t="n"/>
    </row>
    <row r="50">
      <c r="A50" s="56" t="n"/>
      <c r="B50" s="56" t="n"/>
      <c r="C50" s="56" t="n"/>
      <c r="D50" s="56" t="n"/>
      <c r="E50" s="56" t="n"/>
      <c r="F50" s="56" t="n"/>
      <c r="G50" s="56" t="n"/>
      <c r="H50" s="56" t="n"/>
      <c r="I50" s="56" t="n"/>
      <c r="J50" s="56" t="n"/>
      <c r="K50" s="56" t="n"/>
      <c r="L50" s="56" t="n"/>
      <c r="M50" s="56" t="n"/>
      <c r="N50" s="56" t="n"/>
      <c r="O50" s="56" t="n"/>
      <c r="P50" s="56" t="n"/>
      <c r="Q50" s="56" t="n"/>
      <c r="R50" s="56" t="n"/>
      <c r="S50" s="56" t="n"/>
      <c r="T50" s="56" t="n"/>
      <c r="U50" s="56" t="n"/>
      <c r="V50" s="56" t="n"/>
      <c r="W50" s="56" t="n"/>
      <c r="X50" s="56" t="n"/>
      <c r="Y50" s="56" t="n"/>
      <c r="Z50" s="56" t="n"/>
      <c r="AA50" s="56" t="n"/>
      <c r="AB50" s="56" t="n"/>
      <c r="AC50" s="56" t="n"/>
      <c r="AD50" s="56" t="n"/>
      <c r="AE50" s="56" t="n"/>
      <c r="AF50" s="56" t="n"/>
      <c r="AG50" s="56" t="n"/>
      <c r="AH50" s="56" t="n"/>
      <c r="AI50" s="56" t="n"/>
      <c r="AJ50" s="56" t="n"/>
      <c r="AK50" s="56" t="n"/>
      <c r="AL50" s="56" t="n"/>
      <c r="AM50" s="56" t="n"/>
    </row>
    <row r="51">
      <c r="A51" s="56" t="n"/>
      <c r="B51" s="56" t="n"/>
      <c r="C51" s="56" t="n"/>
      <c r="D51" s="56" t="n"/>
      <c r="E51" s="56" t="n"/>
      <c r="F51" s="56" t="n"/>
      <c r="G51" s="56" t="n"/>
      <c r="H51" s="56" t="n"/>
      <c r="I51" s="56" t="n"/>
      <c r="J51" s="56" t="n"/>
      <c r="K51" s="56" t="n"/>
      <c r="L51" s="56" t="n"/>
      <c r="M51" s="56" t="n"/>
      <c r="N51" s="56" t="n"/>
      <c r="O51" s="56" t="n"/>
      <c r="P51" s="56" t="n"/>
      <c r="Q51" s="56" t="n"/>
      <c r="R51" s="56" t="n"/>
      <c r="S51" s="56" t="n"/>
      <c r="T51" s="56" t="n"/>
      <c r="U51" s="56" t="n"/>
      <c r="V51" s="56" t="n"/>
      <c r="W51" s="56" t="n"/>
      <c r="X51" s="56" t="n"/>
      <c r="Y51" s="56" t="n"/>
      <c r="Z51" s="56" t="n"/>
      <c r="AA51" s="56" t="n"/>
      <c r="AB51" s="56" t="n"/>
      <c r="AC51" s="56" t="n"/>
      <c r="AD51" s="56" t="n"/>
      <c r="AE51" s="56" t="n"/>
      <c r="AF51" s="56" t="n"/>
      <c r="AG51" s="56" t="n"/>
      <c r="AH51" s="56" t="n"/>
      <c r="AI51" s="56" t="n"/>
      <c r="AJ51" s="56" t="n"/>
      <c r="AK51" s="56" t="n"/>
      <c r="AL51" s="56" t="n"/>
      <c r="AM51" s="56" t="n"/>
    </row>
    <row r="52">
      <c r="A52" s="56" t="n"/>
      <c r="B52" s="56" t="n"/>
      <c r="C52" s="56" t="n"/>
      <c r="D52" s="56" t="n"/>
      <c r="E52" s="56" t="n"/>
      <c r="F52" s="56" t="n"/>
      <c r="G52" s="56" t="n"/>
      <c r="H52" s="56" t="n"/>
      <c r="I52" s="56" t="n"/>
      <c r="J52" s="56" t="n"/>
      <c r="K52" s="56" t="n"/>
      <c r="L52" s="56" t="n"/>
      <c r="M52" s="56" t="n"/>
      <c r="N52" s="56" t="n"/>
      <c r="O52" s="56" t="n"/>
      <c r="P52" s="56" t="n"/>
      <c r="Q52" s="56" t="n"/>
      <c r="R52" s="56" t="n"/>
      <c r="S52" s="56" t="n"/>
      <c r="T52" s="56" t="n"/>
      <c r="U52" s="56" t="n"/>
      <c r="V52" s="56" t="n"/>
      <c r="W52" s="56" t="n"/>
      <c r="X52" s="56" t="n"/>
      <c r="Y52" s="56" t="n"/>
      <c r="Z52" s="56" t="n"/>
      <c r="AA52" s="56" t="n"/>
      <c r="AB52" s="56" t="n"/>
      <c r="AC52" s="56" t="n"/>
      <c r="AD52" s="56" t="n"/>
      <c r="AE52" s="56" t="n"/>
      <c r="AF52" s="56" t="n"/>
      <c r="AG52" s="56" t="n"/>
      <c r="AH52" s="56" t="n"/>
      <c r="AI52" s="56" t="n"/>
      <c r="AJ52" s="56" t="n"/>
      <c r="AK52" s="56" t="n"/>
      <c r="AL52" s="56" t="n"/>
      <c r="AM52" s="56" t="n"/>
    </row>
    <row r="53">
      <c r="A53" s="56" t="n"/>
      <c r="B53" s="56" t="n"/>
      <c r="C53" s="56" t="n"/>
      <c r="D53" s="56" t="n"/>
      <c r="E53" s="56" t="n"/>
      <c r="F53" s="56" t="n"/>
      <c r="G53" s="56" t="n"/>
      <c r="H53" s="56" t="n"/>
      <c r="I53" s="56" t="n"/>
      <c r="J53" s="56" t="n"/>
      <c r="K53" s="56" t="n"/>
      <c r="L53" s="56" t="n"/>
      <c r="M53" s="56" t="n"/>
      <c r="N53" s="56" t="n"/>
      <c r="O53" s="56" t="n"/>
      <c r="P53" s="56" t="n"/>
      <c r="Q53" s="56" t="n"/>
      <c r="R53" s="56" t="n"/>
      <c r="S53" s="56" t="n"/>
      <c r="T53" s="56" t="n"/>
      <c r="U53" s="56" t="n"/>
      <c r="W53" s="56" t="n"/>
      <c r="X53" s="56" t="n"/>
      <c r="Y53" s="56" t="n"/>
      <c r="Z53" s="56" t="n"/>
      <c r="AA53" s="56" t="n"/>
      <c r="AB53" s="56" t="n"/>
      <c r="AC53" s="56" t="n"/>
      <c r="AD53" s="56" t="n"/>
      <c r="AE53" s="56" t="n"/>
      <c r="AF53" s="56" t="n"/>
      <c r="AG53" s="56" t="n"/>
      <c r="AH53" s="56" t="n"/>
      <c r="AI53" s="56" t="n"/>
      <c r="AJ53" s="56" t="n"/>
      <c r="AK53" s="56" t="n"/>
      <c r="AL53" s="56" t="n"/>
      <c r="AM53" s="56" t="n"/>
    </row>
    <row r="54">
      <c r="A54" s="56" t="n"/>
      <c r="B54" s="56" t="n"/>
      <c r="C54" s="56" t="n"/>
      <c r="D54" s="56" t="n"/>
      <c r="E54" s="56" t="n"/>
      <c r="F54" s="56" t="n"/>
      <c r="G54" s="56" t="n"/>
      <c r="H54" s="56" t="n"/>
      <c r="I54" s="56" t="n"/>
      <c r="J54" s="56" t="n"/>
      <c r="K54" s="56" t="n"/>
      <c r="L54" s="56" t="n"/>
      <c r="M54" s="56" t="n"/>
      <c r="N54" s="56" t="n"/>
      <c r="O54" s="56" t="n"/>
      <c r="P54" s="56" t="n"/>
      <c r="Q54" s="56" t="n"/>
      <c r="R54" s="56" t="n"/>
      <c r="S54" s="56" t="n"/>
      <c r="T54" s="56" t="n"/>
      <c r="U54" s="56" t="n"/>
      <c r="V54" s="56" t="n"/>
      <c r="W54" s="56" t="n"/>
      <c r="X54" s="56" t="n"/>
      <c r="Y54" s="56" t="n"/>
      <c r="Z54" s="56" t="n"/>
      <c r="AA54" s="56" t="n"/>
      <c r="AB54" s="56" t="n"/>
      <c r="AC54" s="56" t="n"/>
      <c r="AD54" s="56" t="n"/>
      <c r="AE54" s="56" t="n"/>
      <c r="AF54" s="56" t="n"/>
      <c r="AG54" s="56" t="n"/>
      <c r="AH54" s="56" t="n"/>
      <c r="AI54" s="56" t="n"/>
      <c r="AJ54" s="56" t="n"/>
      <c r="AK54" s="56" t="n"/>
      <c r="AL54" s="56" t="n"/>
      <c r="AM54" s="56" t="n"/>
    </row>
    <row r="55">
      <c r="A55" s="56" t="n"/>
      <c r="B55" s="56" t="n"/>
      <c r="C55" s="56" t="n"/>
      <c r="D55" s="56" t="n"/>
      <c r="E55" s="56" t="n"/>
      <c r="F55" s="56" t="n"/>
      <c r="G55" s="56" t="n"/>
      <c r="H55" s="56" t="n"/>
      <c r="I55" s="56" t="n"/>
      <c r="J55" s="56" t="n"/>
      <c r="K55" s="56" t="n"/>
      <c r="L55" s="56" t="n"/>
      <c r="M55" s="56" t="n"/>
      <c r="N55" s="56" t="n"/>
      <c r="O55" s="56" t="n"/>
      <c r="P55" s="56" t="n"/>
      <c r="Q55" s="56" t="n"/>
      <c r="R55" s="56" t="n"/>
      <c r="S55" s="56" t="n"/>
      <c r="T55" s="56" t="n"/>
      <c r="U55" s="56" t="n"/>
      <c r="V55" s="56" t="n"/>
      <c r="W55" s="56" t="n"/>
      <c r="X55" s="56" t="n"/>
      <c r="Y55" s="56" t="n"/>
      <c r="Z55" s="56" t="n"/>
      <c r="AA55" s="56" t="n"/>
      <c r="AB55" s="56" t="n"/>
      <c r="AC55" s="56" t="n"/>
      <c r="AD55" s="56" t="n"/>
      <c r="AE55" s="56" t="n"/>
      <c r="AF55" s="56" t="n"/>
      <c r="AG55" s="56" t="n"/>
      <c r="AH55" s="56" t="n"/>
      <c r="AI55" s="56" t="n"/>
      <c r="AJ55" s="56" t="n"/>
      <c r="AK55" s="56" t="n"/>
      <c r="AL55" s="56" t="n"/>
      <c r="AM55" s="56" t="n"/>
    </row>
    <row r="56">
      <c r="A56" s="56" t="n"/>
      <c r="B56" s="56" t="n"/>
      <c r="C56" s="56" t="n"/>
      <c r="D56" s="56" t="n"/>
      <c r="E56" s="56" t="n"/>
      <c r="F56" s="56" t="n"/>
      <c r="G56" s="56" t="n"/>
      <c r="H56" s="56" t="n"/>
      <c r="I56" s="56" t="n"/>
      <c r="J56" s="56" t="n"/>
      <c r="K56" s="56" t="n"/>
      <c r="L56" s="56" t="n"/>
      <c r="M56" s="56" t="n"/>
      <c r="N56" s="56" t="n"/>
      <c r="O56" s="56" t="n"/>
      <c r="P56" s="56" t="n"/>
      <c r="Q56" s="56" t="n"/>
      <c r="R56" s="56" t="n"/>
      <c r="S56" s="56" t="n"/>
      <c r="T56" s="56" t="n"/>
      <c r="U56" s="56" t="n"/>
      <c r="V56" s="56" t="n"/>
      <c r="W56" s="56" t="n"/>
      <c r="X56" s="56" t="n"/>
      <c r="Y56" s="56" t="n"/>
      <c r="Z56" s="56" t="n"/>
      <c r="AA56" s="56" t="n"/>
      <c r="AB56" s="56" t="n"/>
      <c r="AC56" s="56" t="n"/>
      <c r="AD56" s="56" t="n"/>
      <c r="AE56" s="56" t="n"/>
      <c r="AF56" s="56" t="n"/>
      <c r="AG56" s="56" t="n"/>
      <c r="AH56" s="56" t="n"/>
      <c r="AI56" s="56" t="n"/>
      <c r="AJ56" s="56" t="n"/>
      <c r="AK56" s="56" t="n"/>
      <c r="AL56" s="56" t="n"/>
      <c r="AM56" s="56" t="n"/>
    </row>
    <row r="57">
      <c r="A57" s="56" t="n"/>
      <c r="B57" s="56" t="n"/>
      <c r="C57" s="56" t="n"/>
      <c r="D57" s="56" t="n"/>
      <c r="E57" s="56" t="n"/>
      <c r="F57" s="56" t="n"/>
      <c r="G57" s="56" t="n"/>
      <c r="H57" s="56" t="n"/>
      <c r="I57" s="56" t="n"/>
      <c r="J57" s="56" t="n"/>
      <c r="K57" s="56" t="n"/>
      <c r="L57" s="56" t="n"/>
      <c r="M57" s="56" t="n"/>
      <c r="N57" s="56" t="n"/>
      <c r="O57" s="56" t="n"/>
      <c r="P57" s="56" t="n"/>
      <c r="Q57" s="56" t="n"/>
      <c r="R57" s="56" t="n"/>
      <c r="S57" s="56" t="n"/>
      <c r="T57" s="56" t="n"/>
      <c r="U57" s="56" t="n"/>
      <c r="V57" s="56" t="n"/>
      <c r="W57" s="56" t="n"/>
      <c r="X57" s="56" t="n"/>
      <c r="Y57" s="56" t="n"/>
      <c r="Z57" s="56" t="n"/>
      <c r="AA57" s="56" t="n"/>
      <c r="AB57" s="56" t="n"/>
      <c r="AC57" s="56" t="n"/>
      <c r="AD57" s="56" t="n"/>
      <c r="AE57" s="56" t="n"/>
      <c r="AF57" s="56" t="n"/>
      <c r="AG57" s="56" t="n"/>
      <c r="AH57" s="56" t="n"/>
      <c r="AI57" s="56" t="n"/>
      <c r="AJ57" s="56" t="n"/>
      <c r="AK57" s="56" t="n"/>
      <c r="AL57" s="56" t="n"/>
      <c r="AM57" s="56" t="n"/>
    </row>
    <row r="58">
      <c r="A58" s="56" t="n"/>
      <c r="B58" s="56" t="n"/>
      <c r="C58" s="56" t="n"/>
      <c r="D58" s="56" t="n"/>
      <c r="E58" s="56" t="n"/>
      <c r="F58" s="56" t="n"/>
      <c r="G58" s="56" t="n"/>
      <c r="H58" s="56" t="n"/>
      <c r="I58" s="56" t="n"/>
      <c r="J58" s="56" t="n"/>
      <c r="K58" s="56" t="n"/>
      <c r="L58" s="56" t="n"/>
      <c r="M58" s="56" t="n"/>
      <c r="N58" s="56" t="n"/>
      <c r="O58" s="56" t="n"/>
      <c r="P58" s="56" t="n"/>
      <c r="Q58" s="56" t="n"/>
      <c r="R58" s="56" t="n"/>
      <c r="S58" s="56" t="n"/>
      <c r="T58" s="56" t="n"/>
      <c r="U58" s="56" t="n"/>
      <c r="V58" s="56" t="n"/>
      <c r="W58" s="56" t="n"/>
      <c r="X58" s="56" t="n"/>
      <c r="Y58" s="56" t="n"/>
      <c r="Z58" s="56" t="n"/>
      <c r="AA58" s="56" t="n"/>
      <c r="AB58" s="56" t="n"/>
      <c r="AC58" s="56" t="n"/>
      <c r="AD58" s="56" t="n"/>
      <c r="AE58" s="56" t="n"/>
      <c r="AF58" s="56" t="n"/>
      <c r="AG58" s="56" t="n"/>
      <c r="AH58" s="56" t="n"/>
      <c r="AI58" s="56" t="n"/>
      <c r="AJ58" s="56" t="n"/>
      <c r="AK58" s="56" t="n"/>
      <c r="AL58" s="56" t="n"/>
      <c r="AM58" s="56" t="n"/>
    </row>
    <row r="59">
      <c r="A59" s="56" t="n"/>
      <c r="B59" s="56" t="n"/>
      <c r="C59" s="56" t="n"/>
      <c r="D59" s="56" t="n"/>
      <c r="E59" s="56" t="n"/>
      <c r="F59" s="56" t="n"/>
      <c r="G59" s="56" t="n"/>
      <c r="H59" s="56" t="n"/>
      <c r="I59" s="56" t="n"/>
      <c r="J59" s="56" t="n"/>
      <c r="K59" s="56" t="n"/>
      <c r="L59" s="56" t="n"/>
      <c r="M59" s="56" t="n"/>
      <c r="N59" s="56" t="n"/>
      <c r="O59" s="56" t="n"/>
      <c r="P59" s="56" t="n"/>
      <c r="Q59" s="56" t="n"/>
      <c r="R59" s="56" t="n"/>
      <c r="S59" s="56" t="n"/>
      <c r="T59" s="56" t="n"/>
      <c r="U59" s="56" t="n"/>
      <c r="V59" s="56" t="n"/>
      <c r="W59" s="56" t="n"/>
      <c r="X59" s="56" t="n"/>
      <c r="Y59" s="56" t="n"/>
      <c r="Z59" s="56" t="n"/>
      <c r="AA59" s="56" t="n"/>
      <c r="AB59" s="56" t="n"/>
      <c r="AC59" s="56" t="n"/>
      <c r="AD59" s="56" t="n"/>
      <c r="AE59" s="56" t="n"/>
      <c r="AF59" s="56" t="n"/>
      <c r="AG59" s="56" t="n"/>
      <c r="AH59" s="56" t="n"/>
      <c r="AI59" s="56" t="n"/>
      <c r="AJ59" s="56" t="n"/>
      <c r="AK59" s="56" t="n"/>
      <c r="AL59" s="56" t="n"/>
      <c r="AM59" s="56" t="n"/>
    </row>
    <row r="60">
      <c r="A60" s="56" t="n"/>
      <c r="B60" s="56" t="n"/>
      <c r="C60" s="56" t="n"/>
      <c r="D60" s="56" t="n"/>
      <c r="E60" s="56" t="n"/>
      <c r="F60" s="56" t="n"/>
      <c r="G60" s="56" t="n"/>
      <c r="H60" s="56" t="n"/>
      <c r="I60" s="56" t="n"/>
      <c r="J60" s="56" t="n"/>
      <c r="K60" s="56" t="n"/>
      <c r="L60" s="56" t="n"/>
      <c r="M60" s="56" t="n"/>
      <c r="N60" s="56" t="n"/>
      <c r="O60" s="56" t="n"/>
      <c r="P60" s="56" t="n"/>
      <c r="Q60" s="56" t="n"/>
      <c r="R60" s="56" t="n"/>
      <c r="S60" s="56" t="n"/>
      <c r="T60" s="56" t="n"/>
      <c r="U60" s="56" t="n"/>
      <c r="V60" s="56" t="n"/>
      <c r="W60" s="56" t="n"/>
      <c r="X60" s="56" t="n"/>
      <c r="Y60" s="56" t="n"/>
      <c r="Z60" s="56" t="n"/>
      <c r="AA60" s="56" t="n"/>
      <c r="AB60" s="56" t="n"/>
      <c r="AC60" s="56" t="n"/>
      <c r="AD60" s="56" t="n"/>
      <c r="AE60" s="56" t="n"/>
      <c r="AF60" s="56" t="n"/>
      <c r="AG60" s="56" t="n"/>
      <c r="AH60" s="56" t="n"/>
      <c r="AI60" s="56" t="n"/>
      <c r="AJ60" s="56" t="n"/>
      <c r="AK60" s="56" t="n"/>
      <c r="AL60" s="56" t="n"/>
      <c r="AM60" s="56" t="n"/>
    </row>
    <row r="61">
      <c r="A61" s="56" t="n"/>
      <c r="B61" s="56" t="n"/>
      <c r="C61" s="56" t="n"/>
      <c r="D61" s="56" t="n"/>
      <c r="E61" s="56" t="n"/>
      <c r="F61" s="56" t="n"/>
      <c r="G61" s="56" t="n"/>
      <c r="H61" s="56" t="n"/>
      <c r="I61" s="56" t="n"/>
      <c r="J61" s="56" t="n"/>
      <c r="K61" s="56" t="n"/>
      <c r="L61" s="56" t="n"/>
      <c r="M61" s="56" t="n"/>
      <c r="N61" s="56" t="n"/>
      <c r="O61" s="56" t="n"/>
      <c r="P61" s="56" t="n"/>
      <c r="Q61" s="56" t="n"/>
      <c r="R61" s="56" t="n"/>
      <c r="S61" s="56" t="n"/>
      <c r="T61" s="56" t="n"/>
      <c r="U61" s="56" t="n"/>
      <c r="V61" s="56" t="n"/>
      <c r="W61" s="56" t="n"/>
      <c r="X61" s="56" t="n"/>
      <c r="Y61" s="56" t="n"/>
      <c r="Z61" s="56" t="n"/>
      <c r="AA61" s="56" t="n"/>
      <c r="AB61" s="56" t="n"/>
      <c r="AC61" s="56" t="n"/>
      <c r="AD61" s="56" t="n"/>
      <c r="AE61" s="56" t="n"/>
      <c r="AF61" s="56" t="n"/>
      <c r="AG61" s="56" t="n"/>
      <c r="AH61" s="56" t="n"/>
      <c r="AI61" s="56" t="n"/>
      <c r="AJ61" s="56" t="n"/>
      <c r="AK61" s="56" t="n"/>
      <c r="AL61" s="56" t="n"/>
      <c r="AM61" s="56" t="n"/>
    </row>
    <row r="62">
      <c r="A62" s="56" t="n"/>
      <c r="B62" s="56" t="n"/>
      <c r="C62" s="56" t="n"/>
      <c r="D62" s="56" t="n"/>
      <c r="E62" s="56" t="n"/>
      <c r="F62" s="56" t="n"/>
      <c r="G62" s="56" t="n"/>
      <c r="H62" s="56" t="n"/>
      <c r="I62" s="56" t="n"/>
      <c r="J62" s="56" t="n"/>
      <c r="K62" s="56" t="n"/>
      <c r="L62" s="56" t="n"/>
      <c r="M62" s="56" t="n"/>
      <c r="N62" s="56" t="n"/>
      <c r="O62" s="56" t="n"/>
      <c r="P62" s="56" t="n"/>
      <c r="Q62" s="56" t="n"/>
      <c r="R62" s="56" t="n"/>
      <c r="S62" s="56" t="n"/>
      <c r="T62" s="56" t="n"/>
      <c r="U62" s="56" t="n"/>
      <c r="V62" s="56" t="n"/>
      <c r="W62" s="56" t="n"/>
      <c r="X62" s="56" t="n"/>
      <c r="Y62" s="56" t="n"/>
      <c r="Z62" s="56" t="n"/>
      <c r="AA62" s="56" t="n"/>
      <c r="AB62" s="56" t="n"/>
      <c r="AC62" s="56" t="n"/>
      <c r="AD62" s="56" t="n"/>
      <c r="AE62" s="56" t="n"/>
      <c r="AF62" s="56" t="n"/>
      <c r="AG62" s="56" t="n"/>
      <c r="AH62" s="56" t="n"/>
      <c r="AI62" s="56" t="n"/>
      <c r="AJ62" s="56" t="n"/>
      <c r="AK62" s="56" t="n"/>
      <c r="AL62" s="56" t="n"/>
      <c r="AM62" s="56" t="n"/>
    </row>
    <row r="63">
      <c r="A63" s="56" t="n"/>
      <c r="B63" s="56" t="n"/>
      <c r="C63" s="56" t="n"/>
      <c r="D63" s="56" t="n"/>
      <c r="E63" s="56" t="n"/>
      <c r="F63" s="56" t="n"/>
      <c r="G63" s="56" t="n"/>
      <c r="H63" s="56" t="n"/>
      <c r="I63" s="56" t="n"/>
      <c r="J63" s="56" t="n"/>
      <c r="K63" s="56" t="n"/>
      <c r="L63" s="56" t="n"/>
      <c r="M63" s="56" t="n"/>
      <c r="N63" s="56" t="n"/>
      <c r="O63" s="56" t="n"/>
      <c r="P63" s="56" t="n"/>
      <c r="Q63" s="56" t="n"/>
      <c r="R63" s="56" t="n"/>
      <c r="S63" s="56" t="n"/>
      <c r="T63" s="56" t="n"/>
      <c r="U63" s="56" t="n"/>
      <c r="V63" s="56" t="n"/>
      <c r="W63" s="56" t="n"/>
      <c r="X63" s="56" t="n"/>
      <c r="Y63" s="56" t="n"/>
      <c r="Z63" s="56" t="n"/>
      <c r="AA63" s="56" t="n"/>
      <c r="AB63" s="56" t="n"/>
      <c r="AC63" s="56" t="n"/>
      <c r="AD63" s="56" t="n"/>
      <c r="AE63" s="56" t="n"/>
      <c r="AF63" s="56" t="n"/>
      <c r="AG63" s="56" t="n"/>
      <c r="AH63" s="56" t="n"/>
      <c r="AI63" s="56" t="n"/>
      <c r="AJ63" s="56" t="n"/>
      <c r="AK63" s="56" t="n"/>
      <c r="AL63" s="56" t="n"/>
      <c r="AM63" s="56" t="n"/>
    </row>
    <row r="64">
      <c r="A64" s="56" t="n"/>
      <c r="B64" s="56" t="n"/>
      <c r="C64" s="56" t="n"/>
      <c r="D64" s="56" t="n"/>
      <c r="E64" s="56" t="n"/>
      <c r="F64" s="56" t="n"/>
      <c r="G64" s="56" t="n"/>
      <c r="H64" s="56" t="n"/>
      <c r="I64" s="56" t="n"/>
      <c r="J64" s="56" t="n"/>
      <c r="K64" s="56" t="n"/>
      <c r="L64" s="56" t="n"/>
      <c r="M64" s="56" t="n"/>
      <c r="N64" s="56" t="n"/>
      <c r="O64" s="56" t="n"/>
      <c r="P64" s="56" t="n"/>
      <c r="Q64" s="56" t="n"/>
      <c r="R64" s="56" t="n"/>
      <c r="S64" s="56" t="n"/>
      <c r="T64" s="56" t="n"/>
      <c r="U64" s="56" t="n"/>
      <c r="V64" s="56" t="n"/>
      <c r="W64" s="56" t="n"/>
      <c r="X64" s="56" t="n"/>
      <c r="Y64" s="56" t="n"/>
      <c r="Z64" s="56" t="n"/>
      <c r="AA64" s="56" t="n"/>
      <c r="AB64" s="56" t="n"/>
      <c r="AC64" s="56" t="n"/>
      <c r="AD64" s="56" t="n"/>
      <c r="AE64" s="56" t="n"/>
      <c r="AF64" s="56" t="n"/>
      <c r="AG64" s="56" t="n"/>
      <c r="AH64" s="56" t="n"/>
      <c r="AI64" s="56" t="n"/>
      <c r="AJ64" s="56" t="n"/>
      <c r="AK64" s="56" t="n"/>
      <c r="AL64" s="56" t="n"/>
      <c r="AM64" s="56" t="n"/>
    </row>
    <row r="65">
      <c r="A65" s="56" t="n"/>
      <c r="B65" s="56" t="n"/>
      <c r="C65" s="56" t="n"/>
      <c r="D65" s="56" t="n"/>
      <c r="E65" s="56" t="n"/>
      <c r="F65" s="56" t="n"/>
      <c r="G65" s="56" t="n"/>
      <c r="H65" s="56" t="n"/>
      <c r="I65" s="56" t="n"/>
      <c r="J65" s="56" t="n"/>
      <c r="K65" s="56" t="n"/>
      <c r="L65" s="56" t="n"/>
      <c r="M65" s="56" t="n"/>
      <c r="N65" s="56" t="n"/>
      <c r="O65" s="56" t="n"/>
      <c r="P65" s="56" t="n"/>
      <c r="Q65" s="56" t="n"/>
      <c r="R65" s="56" t="n"/>
      <c r="S65" s="56" t="n"/>
      <c r="T65" s="56" t="n"/>
      <c r="U65" s="56" t="n"/>
      <c r="V65" s="56" t="n"/>
      <c r="W65" s="56" t="n"/>
      <c r="X65" s="56" t="n"/>
      <c r="Y65" s="56" t="n"/>
      <c r="Z65" s="56" t="n"/>
      <c r="AA65" s="56" t="n"/>
      <c r="AB65" s="56" t="n"/>
      <c r="AC65" s="56" t="n"/>
      <c r="AD65" s="56" t="n"/>
      <c r="AE65" s="56" t="n"/>
      <c r="AF65" s="56" t="n"/>
      <c r="AG65" s="56" t="n"/>
      <c r="AH65" s="56" t="n"/>
      <c r="AI65" s="56" t="n"/>
      <c r="AJ65" s="56" t="n"/>
      <c r="AK65" s="56" t="n"/>
      <c r="AL65" s="56" t="n"/>
      <c r="AM65" s="56" t="n"/>
    </row>
    <row r="66">
      <c r="A66" s="56" t="n"/>
      <c r="B66" s="56" t="n"/>
      <c r="C66" s="56" t="n"/>
      <c r="D66" s="56" t="n"/>
      <c r="E66" s="56" t="n"/>
      <c r="F66" s="56" t="n"/>
      <c r="G66" s="56" t="n"/>
      <c r="H66" s="56" t="n"/>
      <c r="I66" s="56" t="n"/>
      <c r="J66" s="56" t="n"/>
      <c r="K66" s="56" t="n"/>
      <c r="L66" s="56" t="n"/>
      <c r="M66" s="56" t="n"/>
      <c r="N66" s="56" t="n"/>
      <c r="O66" s="56" t="n"/>
      <c r="P66" s="56" t="n"/>
      <c r="Q66" s="56" t="n"/>
      <c r="R66" s="56" t="n"/>
      <c r="S66" s="56" t="n"/>
      <c r="T66" s="56" t="n"/>
      <c r="U66" s="56" t="n"/>
      <c r="V66" s="56" t="n"/>
      <c r="W66" s="56" t="n"/>
      <c r="X66" s="56" t="n"/>
      <c r="Y66" s="56" t="n"/>
      <c r="Z66" s="56" t="n"/>
      <c r="AA66" s="56" t="n"/>
      <c r="AB66" s="56" t="n"/>
      <c r="AC66" s="56" t="n"/>
      <c r="AD66" s="56" t="n"/>
      <c r="AE66" s="56" t="n"/>
      <c r="AF66" s="56" t="n"/>
      <c r="AG66" s="56" t="n"/>
      <c r="AH66" s="56" t="n"/>
      <c r="AI66" s="56" t="n"/>
      <c r="AJ66" s="56" t="n"/>
      <c r="AK66" s="56" t="n"/>
      <c r="AL66" s="56" t="n"/>
      <c r="AM66" s="56" t="n"/>
    </row>
    <row r="67">
      <c r="A67" s="56" t="n"/>
      <c r="B67" s="56" t="n"/>
      <c r="C67" s="56" t="n"/>
      <c r="D67" s="56" t="n"/>
      <c r="E67" s="56" t="n"/>
      <c r="F67" s="56" t="n"/>
      <c r="G67" s="56" t="n"/>
      <c r="H67" s="56" t="n"/>
      <c r="I67" s="56" t="n"/>
      <c r="J67" s="56" t="n"/>
      <c r="K67" s="56" t="n"/>
      <c r="L67" s="56" t="n"/>
      <c r="M67" s="56" t="n"/>
      <c r="N67" s="56" t="n"/>
      <c r="O67" s="56" t="n"/>
      <c r="P67" s="56" t="n"/>
      <c r="Q67" s="56" t="n"/>
      <c r="R67" s="56" t="n"/>
      <c r="S67" s="56" t="n"/>
      <c r="T67" s="56" t="n"/>
      <c r="U67" s="56" t="n"/>
      <c r="V67" s="56" t="n"/>
      <c r="W67" s="56" t="n"/>
      <c r="X67" s="56" t="n"/>
      <c r="Y67" s="56" t="n"/>
      <c r="Z67" s="56" t="n"/>
      <c r="AA67" s="56" t="n"/>
      <c r="AB67" s="56" t="n"/>
      <c r="AC67" s="56" t="n"/>
      <c r="AD67" s="56" t="n"/>
      <c r="AE67" s="56" t="n"/>
      <c r="AF67" s="56" t="n"/>
      <c r="AG67" s="56" t="n"/>
      <c r="AH67" s="56" t="n"/>
      <c r="AI67" s="56" t="n"/>
      <c r="AJ67" s="56" t="n"/>
      <c r="AK67" s="56" t="n"/>
      <c r="AL67" s="56" t="n"/>
      <c r="AM67" s="56" t="n"/>
    </row>
    <row r="68">
      <c r="A68" s="56" t="n"/>
      <c r="B68" s="56" t="n"/>
      <c r="C68" s="56" t="n"/>
      <c r="D68" s="56" t="n"/>
      <c r="E68" s="56" t="n"/>
      <c r="F68" s="56" t="n"/>
      <c r="G68" s="56" t="n"/>
      <c r="H68" s="56" t="n"/>
      <c r="I68" s="56" t="n"/>
      <c r="J68" s="56" t="n"/>
      <c r="K68" s="56" t="n"/>
      <c r="L68" s="56" t="n"/>
      <c r="M68" s="56" t="n"/>
      <c r="N68" s="56" t="n"/>
      <c r="O68" s="56" t="n"/>
      <c r="P68" s="56" t="n"/>
      <c r="Q68" s="56" t="n"/>
      <c r="R68" s="56" t="n"/>
      <c r="S68" s="56" t="n"/>
      <c r="T68" s="56" t="n"/>
      <c r="U68" s="56" t="n"/>
      <c r="V68" s="56" t="n"/>
      <c r="W68" s="56" t="n"/>
      <c r="X68" s="56" t="n"/>
      <c r="Y68" s="56" t="n"/>
      <c r="Z68" s="56" t="n"/>
      <c r="AA68" s="56" t="n"/>
      <c r="AB68" s="56" t="n"/>
      <c r="AC68" s="56" t="n"/>
      <c r="AD68" s="56" t="n"/>
      <c r="AE68" s="56" t="n"/>
      <c r="AF68" s="56" t="n"/>
      <c r="AG68" s="56" t="n"/>
      <c r="AH68" s="56" t="n"/>
      <c r="AI68" s="56" t="n"/>
      <c r="AJ68" s="56" t="n"/>
      <c r="AK68" s="56" t="n"/>
      <c r="AL68" s="56" t="n"/>
      <c r="AM68" s="56" t="n"/>
    </row>
    <row r="69">
      <c r="A69" s="56" t="n"/>
      <c r="B69" s="56" t="n"/>
      <c r="C69" s="56" t="n"/>
      <c r="D69" s="56" t="n"/>
      <c r="E69" s="56" t="n"/>
      <c r="F69" s="56" t="n"/>
      <c r="G69" s="56" t="n"/>
      <c r="H69" s="56" t="n"/>
      <c r="I69" s="56" t="n"/>
      <c r="J69" s="56" t="n"/>
      <c r="K69" s="56" t="n"/>
      <c r="L69" s="56" t="n"/>
      <c r="M69" s="56" t="n"/>
      <c r="N69" s="56" t="n"/>
      <c r="O69" s="56" t="n"/>
      <c r="P69" s="56" t="n"/>
      <c r="Q69" s="56" t="n"/>
      <c r="R69" s="56" t="n"/>
      <c r="S69" s="56" t="n"/>
      <c r="T69" s="56" t="n"/>
      <c r="U69" s="56" t="n"/>
      <c r="V69" s="56" t="n"/>
      <c r="W69" s="56" t="n"/>
      <c r="X69" s="56" t="n"/>
      <c r="Y69" s="56" t="n"/>
      <c r="Z69" s="56" t="n"/>
      <c r="AA69" s="56" t="n"/>
      <c r="AB69" s="56" t="n"/>
      <c r="AC69" s="56" t="n"/>
      <c r="AD69" s="56" t="n"/>
      <c r="AE69" s="56" t="n"/>
      <c r="AF69" s="56" t="n"/>
      <c r="AG69" s="56" t="n"/>
      <c r="AH69" s="56" t="n"/>
      <c r="AI69" s="56" t="n"/>
      <c r="AJ69" s="56" t="n"/>
      <c r="AK69" s="56" t="n"/>
      <c r="AL69" s="56" t="n"/>
      <c r="AM69" s="56" t="n"/>
    </row>
    <row r="70">
      <c r="A70" s="56" t="n"/>
      <c r="B70" s="56" t="n"/>
      <c r="C70" s="56" t="n"/>
      <c r="D70" s="56" t="n"/>
      <c r="E70" s="56" t="n"/>
      <c r="F70" s="56" t="n"/>
      <c r="G70" s="56" t="n"/>
      <c r="H70" s="56" t="n"/>
      <c r="I70" s="56" t="n"/>
      <c r="J70" s="56" t="n"/>
      <c r="K70" s="56" t="n"/>
      <c r="L70" s="56" t="n"/>
      <c r="M70" s="56" t="n"/>
      <c r="N70" s="56" t="n"/>
      <c r="O70" s="56" t="n"/>
      <c r="P70" s="56" t="n"/>
      <c r="Q70" s="56" t="n"/>
      <c r="R70" s="56" t="n"/>
      <c r="S70" s="56" t="n"/>
      <c r="T70" s="56" t="n"/>
      <c r="U70" s="56" t="n"/>
      <c r="V70" s="56" t="n"/>
      <c r="W70" s="56" t="n"/>
      <c r="X70" s="56" t="n"/>
      <c r="Y70" s="56" t="n"/>
      <c r="Z70" s="56" t="n"/>
      <c r="AA70" s="56" t="n"/>
      <c r="AB70" s="56" t="n"/>
      <c r="AC70" s="56" t="n"/>
      <c r="AD70" s="56" t="n"/>
      <c r="AE70" s="56" t="n"/>
      <c r="AF70" s="56" t="n"/>
      <c r="AG70" s="56" t="n"/>
      <c r="AH70" s="56" t="n"/>
      <c r="AI70" s="56" t="n"/>
      <c r="AJ70" s="56" t="n"/>
      <c r="AK70" s="56" t="n"/>
      <c r="AL70" s="56" t="n"/>
      <c r="AM70" s="56" t="n"/>
    </row>
    <row r="71">
      <c r="A71" s="56" t="n"/>
      <c r="B71" s="56" t="n"/>
      <c r="C71" s="56" t="n"/>
      <c r="D71" s="56" t="n"/>
      <c r="E71" s="56" t="n"/>
      <c r="F71" s="56" t="n"/>
      <c r="G71" s="56" t="n"/>
      <c r="H71" s="56" t="n"/>
      <c r="I71" s="56" t="n"/>
      <c r="J71" s="56" t="n"/>
      <c r="K71" s="56" t="n"/>
      <c r="L71" s="56" t="n"/>
      <c r="M71" s="56" t="n"/>
      <c r="N71" s="56" t="n"/>
      <c r="O71" s="56" t="n"/>
      <c r="P71" s="56" t="n"/>
      <c r="Q71" s="56" t="n"/>
      <c r="R71" s="56" t="n"/>
      <c r="S71" s="56" t="n"/>
      <c r="T71" s="56" t="n"/>
      <c r="U71" s="56" t="n"/>
      <c r="V71" s="56" t="n"/>
      <c r="W71" s="56" t="n"/>
      <c r="X71" s="56" t="n"/>
      <c r="Y71" s="56" t="n"/>
      <c r="Z71" s="56" t="n"/>
      <c r="AA71" s="56" t="n"/>
      <c r="AB71" s="56" t="n"/>
      <c r="AC71" s="56" t="n"/>
      <c r="AD71" s="56" t="n"/>
      <c r="AE71" s="56" t="n"/>
      <c r="AF71" s="56" t="n"/>
      <c r="AG71" s="56" t="n"/>
      <c r="AH71" s="56" t="n"/>
      <c r="AI71" s="56" t="n"/>
      <c r="AJ71" s="56" t="n"/>
      <c r="AK71" s="56" t="n"/>
      <c r="AL71" s="56" t="n"/>
      <c r="AM71" s="56" t="n"/>
    </row>
    <row r="72">
      <c r="A72" s="56" t="n"/>
      <c r="B72" s="56" t="n"/>
      <c r="C72" s="56" t="n"/>
      <c r="D72" s="56" t="n"/>
      <c r="E72" s="56" t="n"/>
      <c r="F72" s="56" t="n"/>
      <c r="G72" s="56" t="n"/>
      <c r="H72" s="56" t="n"/>
      <c r="I72" s="56" t="n"/>
      <c r="J72" s="56" t="n"/>
      <c r="K72" s="56" t="n"/>
      <c r="L72" s="56" t="n"/>
      <c r="M72" s="56" t="n"/>
      <c r="N72" s="56" t="n"/>
      <c r="O72" s="56" t="n"/>
      <c r="P72" s="56" t="n"/>
      <c r="Q72" s="56" t="n"/>
      <c r="R72" s="56" t="n"/>
      <c r="S72" s="56" t="n"/>
      <c r="T72" s="56" t="n"/>
      <c r="U72" s="56" t="n"/>
      <c r="V72" s="56" t="n"/>
      <c r="W72" s="56" t="n"/>
      <c r="X72" s="56" t="n"/>
      <c r="Y72" s="56" t="n"/>
      <c r="Z72" s="56" t="n"/>
      <c r="AA72" s="56" t="n"/>
      <c r="AB72" s="56" t="n"/>
      <c r="AC72" s="56" t="n"/>
      <c r="AD72" s="56" t="n"/>
      <c r="AE72" s="56" t="n"/>
      <c r="AF72" s="56" t="n"/>
      <c r="AG72" s="56" t="n"/>
      <c r="AH72" s="56" t="n"/>
      <c r="AI72" s="56" t="n"/>
      <c r="AJ72" s="56" t="n"/>
      <c r="AK72" s="56" t="n"/>
      <c r="AL72" s="56" t="n"/>
      <c r="AM72" s="56" t="n"/>
    </row>
    <row r="73">
      <c r="A73" s="56" t="n"/>
      <c r="B73" s="56" t="n"/>
      <c r="C73" s="56" t="n"/>
      <c r="D73" s="56" t="n"/>
      <c r="E73" s="56" t="n"/>
      <c r="F73" s="56" t="n"/>
      <c r="G73" s="56" t="n"/>
      <c r="H73" s="56" t="n"/>
      <c r="I73" s="56" t="n"/>
      <c r="J73" s="56" t="n"/>
      <c r="K73" s="56" t="n"/>
      <c r="L73" s="56" t="n"/>
      <c r="M73" s="56" t="n"/>
      <c r="N73" s="56" t="n"/>
      <c r="O73" s="56" t="n"/>
      <c r="P73" s="56" t="n"/>
      <c r="Q73" s="56" t="n"/>
      <c r="R73" s="56" t="n"/>
      <c r="S73" s="56" t="n"/>
      <c r="T73" s="56" t="n"/>
      <c r="U73" s="56" t="n"/>
      <c r="V73" s="56" t="n"/>
      <c r="W73" s="56" t="n"/>
      <c r="X73" s="56" t="n"/>
      <c r="Y73" s="56" t="n"/>
      <c r="Z73" s="56" t="n"/>
      <c r="AA73" s="56" t="n"/>
      <c r="AB73" s="56" t="n"/>
      <c r="AC73" s="56" t="n"/>
      <c r="AD73" s="56" t="n"/>
      <c r="AE73" s="56" t="n"/>
      <c r="AF73" s="56" t="n"/>
      <c r="AG73" s="56" t="n"/>
      <c r="AH73" s="56" t="n"/>
      <c r="AI73" s="56" t="n"/>
      <c r="AJ73" s="56" t="n"/>
      <c r="AK73" s="56" t="n"/>
      <c r="AL73" s="56" t="n"/>
      <c r="AM73" s="56" t="n"/>
    </row>
    <row r="74">
      <c r="A74" s="56" t="n"/>
      <c r="B74" s="56" t="n"/>
      <c r="C74" s="56" t="n"/>
      <c r="D74" s="56" t="n"/>
      <c r="E74" s="56" t="n"/>
      <c r="F74" s="56" t="n"/>
      <c r="G74" s="56" t="n"/>
      <c r="H74" s="56" t="n"/>
      <c r="I74" s="56" t="n"/>
      <c r="J74" s="56" t="n"/>
      <c r="K74" s="56" t="n"/>
      <c r="L74" s="56" t="n"/>
      <c r="M74" s="56" t="n"/>
      <c r="N74" s="56" t="n"/>
      <c r="O74" s="56" t="n"/>
      <c r="P74" s="56" t="n"/>
      <c r="Q74" s="56" t="n"/>
      <c r="R74" s="56" t="n"/>
      <c r="S74" s="56" t="n"/>
      <c r="T74" s="56" t="n"/>
      <c r="U74" s="56" t="n"/>
      <c r="V74" s="56" t="n"/>
      <c r="W74" s="56" t="n"/>
      <c r="X74" s="56" t="n"/>
      <c r="Y74" s="56" t="n"/>
      <c r="Z74" s="56" t="n"/>
      <c r="AA74" s="56" t="n"/>
      <c r="AB74" s="56" t="n"/>
      <c r="AC74" s="56" t="n"/>
      <c r="AD74" s="56" t="n"/>
      <c r="AE74" s="56" t="n"/>
      <c r="AF74" s="56" t="n"/>
      <c r="AG74" s="56" t="n"/>
      <c r="AH74" s="56" t="n"/>
      <c r="AI74" s="56" t="n"/>
      <c r="AJ74" s="56" t="n"/>
      <c r="AK74" s="56" t="n"/>
      <c r="AL74" s="56" t="n"/>
      <c r="AM74" s="56" t="n"/>
    </row>
    <row r="75">
      <c r="A75" s="56" t="n"/>
      <c r="B75" s="56" t="n"/>
      <c r="C75" s="56" t="n"/>
      <c r="D75" s="56" t="n"/>
      <c r="E75" s="56" t="n"/>
      <c r="F75" s="56" t="n"/>
      <c r="G75" s="56" t="n"/>
      <c r="H75" s="56" t="n"/>
      <c r="I75" s="56" t="n"/>
      <c r="J75" s="56" t="n"/>
      <c r="K75" s="56" t="n"/>
      <c r="L75" s="56" t="n"/>
      <c r="M75" s="56" t="n"/>
      <c r="N75" s="56" t="n"/>
      <c r="O75" s="56" t="n"/>
      <c r="P75" s="56" t="n"/>
      <c r="Q75" s="56" t="n"/>
      <c r="R75" s="56" t="n"/>
      <c r="S75" s="56" t="n"/>
      <c r="T75" s="56" t="n"/>
      <c r="U75" s="56" t="n"/>
      <c r="V75" s="56" t="n"/>
      <c r="W75" s="56" t="n"/>
      <c r="X75" s="56" t="n"/>
      <c r="Y75" s="56" t="n"/>
      <c r="Z75" s="56" t="n"/>
      <c r="AA75" s="56" t="n"/>
      <c r="AB75" s="56" t="n"/>
      <c r="AC75" s="56" t="n"/>
      <c r="AD75" s="56" t="n"/>
      <c r="AE75" s="56" t="n"/>
      <c r="AF75" s="56" t="n"/>
      <c r="AG75" s="56" t="n"/>
      <c r="AH75" s="56" t="n"/>
      <c r="AI75" s="56" t="n"/>
      <c r="AJ75" s="56" t="n"/>
      <c r="AK75" s="56" t="n"/>
      <c r="AL75" s="56" t="n"/>
      <c r="AM75" s="56" t="n"/>
    </row>
    <row r="76">
      <c r="A76" s="56" t="n"/>
      <c r="B76" s="56" t="n"/>
      <c r="C76" s="56" t="n"/>
      <c r="D76" s="56" t="n"/>
      <c r="E76" s="56" t="n"/>
      <c r="F76" s="56" t="n"/>
      <c r="G76" s="56" t="n"/>
      <c r="H76" s="56" t="n"/>
      <c r="I76" s="56" t="n"/>
      <c r="J76" s="56" t="n"/>
      <c r="K76" s="56" t="n"/>
      <c r="L76" s="56" t="n"/>
      <c r="M76" s="56" t="n"/>
      <c r="N76" s="56" t="n"/>
      <c r="O76" s="56" t="n"/>
      <c r="P76" s="56" t="n"/>
      <c r="Q76" s="56" t="n"/>
      <c r="R76" s="56" t="n"/>
      <c r="S76" s="56" t="n"/>
      <c r="T76" s="56" t="n"/>
      <c r="U76" s="56" t="n"/>
      <c r="V76" s="56" t="n"/>
      <c r="W76" s="56" t="n"/>
      <c r="X76" s="56" t="n"/>
      <c r="Y76" s="56" t="n"/>
      <c r="Z76" s="56" t="n"/>
      <c r="AA76" s="56" t="n"/>
      <c r="AB76" s="56" t="n"/>
      <c r="AC76" s="56" t="n"/>
      <c r="AD76" s="56" t="n"/>
      <c r="AE76" s="56" t="n"/>
      <c r="AF76" s="56" t="n"/>
      <c r="AG76" s="56" t="n"/>
      <c r="AH76" s="56" t="n"/>
      <c r="AI76" s="56" t="n"/>
      <c r="AJ76" s="56" t="n"/>
      <c r="AK76" s="56" t="n"/>
      <c r="AL76" s="56" t="n"/>
      <c r="AM76" s="56" t="n"/>
    </row>
    <row r="77">
      <c r="A77" s="56" t="n"/>
      <c r="B77" s="56" t="n"/>
      <c r="C77" s="56" t="n"/>
      <c r="D77" s="56" t="n"/>
      <c r="E77" s="56" t="n"/>
      <c r="F77" s="56" t="n"/>
      <c r="G77" s="56" t="n"/>
      <c r="H77" s="56" t="n"/>
      <c r="I77" s="56" t="n"/>
      <c r="J77" s="56" t="n"/>
      <c r="K77" s="56" t="n"/>
      <c r="L77" s="56" t="n"/>
      <c r="M77" s="56" t="n"/>
      <c r="N77" s="56" t="n"/>
      <c r="O77" s="56" t="n"/>
      <c r="P77" s="56" t="n"/>
      <c r="Q77" s="56" t="n"/>
      <c r="R77" s="56" t="n"/>
      <c r="S77" s="56" t="n"/>
      <c r="T77" s="56" t="n"/>
      <c r="U77" s="56" t="n"/>
      <c r="V77" s="56" t="n"/>
      <c r="W77" s="56" t="n"/>
      <c r="X77" s="56" t="n"/>
      <c r="Y77" s="56" t="n"/>
      <c r="Z77" s="56" t="n"/>
      <c r="AA77" s="56" t="n"/>
      <c r="AB77" s="56" t="n"/>
      <c r="AC77" s="56" t="n"/>
      <c r="AD77" s="56" t="n"/>
      <c r="AE77" s="56" t="n"/>
      <c r="AF77" s="56" t="n"/>
      <c r="AG77" s="56" t="n"/>
      <c r="AH77" s="56" t="n"/>
      <c r="AI77" s="56" t="n"/>
      <c r="AJ77" s="56" t="n"/>
      <c r="AK77" s="56" t="n"/>
      <c r="AL77" s="56" t="n"/>
      <c r="AM77" s="56" t="n"/>
    </row>
  </sheetData>
  <conditionalFormatting sqref="B14:V14 O8:V8">
    <cfRule type="cellIs" priority="1" operator="greaterThanOrEqual" dxfId="0">
      <formula>4000</formula>
    </cfRule>
    <cfRule type="cellIs" priority="2" operator="between" dxfId="1">
      <formula>3999</formula>
      <formula>3000</formula>
    </cfRule>
    <cfRule type="cellIs" priority="4" operator="between" dxfId="3">
      <formula>3000</formula>
      <formula>1000</formula>
    </cfRule>
    <cfRule type="cellIs" priority="5" operator="lessThanOrEqual" dxfId="4">
      <formula>999</formula>
    </cfRule>
  </conditionalFormatting>
  <conditionalFormatting sqref="V16:AM16">
    <cfRule type="notContainsBlanks" priority="3" dxfId="2">
      <formula>LEN(TRIM(V16))&gt;0</formula>
    </cfRule>
  </conditionalFormatting>
  <pageMargins left="0.75" right="0.75" top="1" bottom="1" header="0.5" footer="0.5"/>
  <drawing xmlns:r="http://schemas.openxmlformats.org/officeDocument/2006/relationships" r:id="rId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rgb="FFFFFF00"/>
    <outlinePr summaryBelow="0" summaryRight="0"/>
    <pageSetUpPr/>
  </sheetPr>
  <dimension ref="A1:AG24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17.29" customWidth="1" style="136" min="1" max="1"/>
    <col width="12.57" customWidth="1" style="136" min="2" max="2"/>
    <col width="24.71" customWidth="1" style="136" min="3" max="3"/>
    <col width="18.14" customWidth="1" style="136" min="4" max="4"/>
    <col hidden="1" width="21.14" customWidth="1" style="136" min="5" max="5"/>
    <col hidden="1" width="15.71" customWidth="1" style="136" min="6" max="6"/>
    <col width="18.29" customWidth="1" style="136" min="7" max="7"/>
    <col width="15.43" customWidth="1" style="136" min="8" max="8"/>
    <col width="15.14" customWidth="1" style="136" min="9" max="9"/>
    <col hidden="1" width="15.86" customWidth="1" style="136" min="10" max="10"/>
    <col width="12.71" customWidth="1" style="136" min="11" max="11"/>
    <col width="21.57" customWidth="1" style="136" min="12" max="13"/>
    <col width="13.86" customWidth="1" style="136" min="14" max="14"/>
    <col width="25.86" customWidth="1" style="136" min="15" max="15"/>
    <col width="17.29" customWidth="1" style="136" min="16" max="16"/>
  </cols>
  <sheetData>
    <row r="1" ht="22.5" customHeight="1" s="136">
      <c r="A1" s="58" t="inlineStr">
        <is>
          <t>Completion Date</t>
        </is>
      </c>
      <c r="B1" s="58" t="inlineStr">
        <is>
          <t>Period</t>
        </is>
      </c>
      <c r="C1" s="59" t="inlineStr">
        <is>
          <t>Source</t>
        </is>
      </c>
      <c r="D1" s="59" t="inlineStr">
        <is>
          <t>Type</t>
        </is>
      </c>
      <c r="E1" s="58" t="inlineStr">
        <is>
          <t>Expected Amount</t>
        </is>
      </c>
      <c r="F1" s="58" t="inlineStr">
        <is>
          <t>Expected Pay Date</t>
        </is>
      </c>
      <c r="G1" s="58" t="inlineStr">
        <is>
          <t>Amount</t>
        </is>
      </c>
      <c r="H1" s="58" t="inlineStr">
        <is>
          <t>Pay Date</t>
        </is>
      </c>
      <c r="I1" s="58" t="inlineStr">
        <is>
          <t>Pay Time</t>
        </is>
      </c>
      <c r="J1" s="58" t="inlineStr">
        <is>
          <t>Variance Amount</t>
        </is>
      </c>
      <c r="K1" s="58" t="inlineStr">
        <is>
          <t>Report</t>
        </is>
      </c>
      <c r="L1" s="58" t="inlineStr">
        <is>
          <t>RTS Status</t>
        </is>
      </c>
      <c r="M1" s="58" t="inlineStr">
        <is>
          <t>RDM Status</t>
        </is>
      </c>
      <c r="N1" s="59" t="inlineStr">
        <is>
          <t>Quarter</t>
        </is>
      </c>
      <c r="O1" s="58" t="inlineStr">
        <is>
          <t>Notes</t>
        </is>
      </c>
    </row>
    <row r="2" ht="22.5" customHeight="1" s="136">
      <c r="A2" s="60" t="n">
        <v>46127</v>
      </c>
      <c r="B2" s="61" t="n"/>
      <c r="C2" s="72" t="inlineStr">
        <is>
          <t>Backyard Ventures</t>
        </is>
      </c>
      <c r="D2" s="72" t="inlineStr">
        <is>
          <t>Various</t>
        </is>
      </c>
      <c r="E2" s="66" t="n"/>
      <c r="F2" s="73" t="n"/>
      <c r="G2" s="66" t="n"/>
      <c r="H2" s="73" t="n">
        <v>46127</v>
      </c>
      <c r="I2" s="67" t="n"/>
      <c r="J2" s="66" t="n"/>
      <c r="K2" s="67" t="n"/>
      <c r="L2" s="72" t="n"/>
      <c r="M2" s="72" t="n"/>
      <c r="N2" s="72" t="n"/>
      <c r="O2" s="69" t="n"/>
    </row>
    <row r="3" ht="22.5" customHeight="1" s="136">
      <c r="A3" s="70" t="n">
        <v>46112</v>
      </c>
      <c r="B3" s="71" t="n">
        <v>46107</v>
      </c>
      <c r="C3" s="72" t="n"/>
      <c r="D3" s="72" t="n"/>
      <c r="E3" s="66" t="n"/>
      <c r="F3" s="73" t="n"/>
      <c r="G3" s="66" t="n"/>
      <c r="H3" s="73" t="n"/>
      <c r="I3" s="67" t="n"/>
      <c r="J3" s="66" t="n"/>
      <c r="K3" s="67" t="n"/>
      <c r="L3" s="72" t="n"/>
      <c r="M3" s="72" t="n"/>
      <c r="N3" s="72" t="n"/>
      <c r="O3" s="69" t="n"/>
      <c r="P3" s="74" t="n"/>
      <c r="Q3" s="74" t="n"/>
      <c r="R3" s="74" t="n"/>
      <c r="S3" s="74" t="n"/>
      <c r="T3" s="74" t="n"/>
      <c r="U3" s="74" t="n"/>
      <c r="V3" s="74" t="n"/>
      <c r="W3" s="74" t="n"/>
      <c r="X3" s="74" t="n"/>
      <c r="Y3" s="74" t="n"/>
      <c r="Z3" s="74" t="n"/>
      <c r="AA3" s="74" t="n"/>
      <c r="AB3" s="74" t="n"/>
      <c r="AC3" s="74" t="n"/>
      <c r="AD3" s="74" t="n"/>
      <c r="AE3" s="74" t="n"/>
      <c r="AF3" s="74" t="n"/>
      <c r="AG3" s="74" t="n"/>
    </row>
    <row r="4" ht="22.5" customHeight="1" s="136">
      <c r="A4" s="70" t="n">
        <v>46081</v>
      </c>
      <c r="B4" s="71" t="n">
        <v>46079</v>
      </c>
      <c r="C4" s="82" t="inlineStr">
        <is>
          <t>Acast</t>
        </is>
      </c>
      <c r="D4" s="82" t="inlineStr">
        <is>
          <t>DAI</t>
        </is>
      </c>
      <c r="E4" s="80" t="n">
        <v>0</v>
      </c>
      <c r="F4" s="78" t="n"/>
      <c r="G4" s="80" t="n"/>
      <c r="H4" s="78" t="n"/>
      <c r="I4" s="81" t="n"/>
      <c r="J4" s="80" t="n"/>
      <c r="K4" s="81" t="n"/>
      <c r="L4" s="82" t="n"/>
      <c r="M4" s="82" t="n"/>
      <c r="N4" s="82" t="n"/>
      <c r="O4" s="83" t="n"/>
      <c r="P4" s="74" t="n"/>
      <c r="Q4" s="74" t="n"/>
      <c r="R4" s="74" t="n"/>
      <c r="S4" s="74" t="n"/>
      <c r="T4" s="74" t="n"/>
      <c r="U4" s="74" t="n"/>
      <c r="V4" s="74" t="n"/>
      <c r="W4" s="74" t="n"/>
      <c r="X4" s="74" t="n"/>
      <c r="Y4" s="74" t="n"/>
      <c r="Z4" s="74" t="n"/>
      <c r="AA4" s="74" t="n"/>
      <c r="AB4" s="74" t="n"/>
      <c r="AC4" s="74" t="n"/>
      <c r="AD4" s="74" t="n"/>
      <c r="AE4" s="74" t="n"/>
      <c r="AF4" s="74" t="n"/>
      <c r="AG4" s="74" t="n"/>
    </row>
    <row r="5" ht="22.5" customHeight="1" s="136">
      <c r="A5" s="70" t="n">
        <v>46081</v>
      </c>
      <c r="B5" s="71" t="n">
        <v>46079</v>
      </c>
      <c r="C5" s="72" t="n"/>
      <c r="D5" s="72" t="n"/>
      <c r="E5" s="66" t="n"/>
      <c r="F5" s="73" t="n"/>
      <c r="G5" s="66" t="n"/>
      <c r="H5" s="73" t="n"/>
      <c r="I5" s="67" t="n"/>
      <c r="J5" s="66" t="n"/>
      <c r="K5" s="67" t="n"/>
      <c r="L5" s="72" t="n"/>
      <c r="M5" s="72" t="n"/>
      <c r="N5" s="72" t="n"/>
      <c r="O5" s="69" t="n"/>
    </row>
    <row r="6" ht="22.5" customHeight="1" s="136">
      <c r="A6" s="70" t="n">
        <v>46053</v>
      </c>
      <c r="B6" s="71" t="n">
        <v>46048</v>
      </c>
      <c r="C6" s="82" t="inlineStr">
        <is>
          <t>Acast</t>
        </is>
      </c>
      <c r="D6" s="82" t="inlineStr">
        <is>
          <t>DAI</t>
        </is>
      </c>
      <c r="E6" s="80" t="n">
        <v>630.51</v>
      </c>
      <c r="F6" s="78" t="n"/>
      <c r="G6" s="80" t="n"/>
      <c r="H6" s="78" t="n"/>
      <c r="I6" s="81" t="n"/>
      <c r="J6" s="80" t="n"/>
      <c r="K6" s="81" t="n"/>
      <c r="L6" s="82" t="n"/>
      <c r="M6" s="82" t="n"/>
      <c r="N6" s="82" t="n"/>
      <c r="O6" s="83" t="n"/>
      <c r="P6" s="74" t="n"/>
      <c r="Q6" s="74" t="n"/>
      <c r="R6" s="74" t="n"/>
      <c r="S6" s="74" t="n"/>
      <c r="T6" s="74" t="n"/>
      <c r="U6" s="74" t="n"/>
      <c r="V6" s="74" t="n"/>
      <c r="W6" s="74" t="n"/>
      <c r="X6" s="74" t="n"/>
      <c r="Y6" s="74" t="n"/>
      <c r="Z6" s="74" t="n"/>
      <c r="AA6" s="74" t="n"/>
      <c r="AB6" s="74" t="n"/>
      <c r="AC6" s="74" t="n"/>
      <c r="AD6" s="74" t="n"/>
      <c r="AE6" s="74" t="n"/>
      <c r="AF6" s="74" t="n"/>
      <c r="AG6" s="74" t="n"/>
    </row>
    <row r="7" ht="22.5" customHeight="1" s="136">
      <c r="A7" s="84" t="n">
        <v>45991</v>
      </c>
      <c r="B7" s="85" t="n">
        <v>46351</v>
      </c>
      <c r="C7" s="92" t="inlineStr">
        <is>
          <t>Culture Genesis</t>
        </is>
      </c>
      <c r="D7" s="87" t="inlineStr">
        <is>
          <t>Direct Sold</t>
        </is>
      </c>
      <c r="E7" s="96" t="n">
        <v>3155.81</v>
      </c>
      <c r="F7" s="89" t="n">
        <v>46036</v>
      </c>
      <c r="G7" s="96" t="n">
        <v>3155.81</v>
      </c>
      <c r="H7" s="89" t="n">
        <v>46030</v>
      </c>
      <c r="I7" s="90">
        <f>H7-A7</f>
        <v/>
      </c>
      <c r="J7" s="96">
        <f>G7-E7</f>
        <v/>
      </c>
      <c r="K7" s="91" t="inlineStr">
        <is>
          <t>Road Trippin' Podcast_2025-11 (Direct Sold).pdf</t>
        </is>
      </c>
      <c r="L7" s="92" t="inlineStr">
        <is>
          <t>PAID</t>
        </is>
      </c>
      <c r="M7" s="92" t="n"/>
      <c r="N7" s="92" t="inlineStr">
        <is>
          <t>Q2</t>
        </is>
      </c>
      <c r="O7" s="93" t="n"/>
      <c r="P7" s="74" t="n"/>
      <c r="Q7" s="74" t="n"/>
      <c r="R7" s="74" t="n"/>
      <c r="S7" s="74" t="n"/>
      <c r="T7" s="74" t="n"/>
      <c r="U7" s="74" t="n"/>
      <c r="V7" s="74" t="n"/>
      <c r="W7" s="74" t="n"/>
      <c r="X7" s="74" t="n"/>
      <c r="Y7" s="74" t="n"/>
      <c r="Z7" s="74" t="n"/>
      <c r="AA7" s="74" t="n"/>
      <c r="AB7" s="74" t="n"/>
      <c r="AC7" s="74" t="n"/>
      <c r="AD7" s="74" t="n"/>
      <c r="AE7" s="74" t="n"/>
      <c r="AF7" s="74" t="n"/>
      <c r="AG7" s="74" t="n"/>
    </row>
    <row r="8" ht="22.5" customHeight="1" s="136">
      <c r="A8" s="84" t="n">
        <v>46053</v>
      </c>
      <c r="B8" s="85" t="n">
        <v>46048</v>
      </c>
      <c r="C8" s="98" t="inlineStr">
        <is>
          <t>YouTube</t>
        </is>
      </c>
      <c r="D8" s="87" t="inlineStr">
        <is>
          <t>AdSense</t>
        </is>
      </c>
      <c r="E8" s="96" t="n">
        <v>5171.85</v>
      </c>
      <c r="F8" s="89" t="n">
        <v>46076</v>
      </c>
      <c r="G8" s="96" t="n">
        <v>5171.85</v>
      </c>
      <c r="H8" s="89" t="n">
        <v>46079</v>
      </c>
      <c r="I8" s="95">
        <f>H8-A8</f>
        <v/>
      </c>
      <c r="J8" s="96" t="n"/>
      <c r="K8" s="97" t="inlineStr">
        <is>
          <t>Road Trippin' Podcast_2026-01 (AdSense).pdf</t>
        </is>
      </c>
      <c r="L8" s="98" t="inlineStr">
        <is>
          <t>PAID</t>
        </is>
      </c>
      <c r="M8" s="98" t="n"/>
      <c r="N8" s="98" t="inlineStr">
        <is>
          <t>Q2</t>
        </is>
      </c>
      <c r="O8" s="99" t="n"/>
      <c r="P8" s="100" t="n"/>
      <c r="Q8" s="100" t="n"/>
      <c r="R8" s="100" t="n"/>
      <c r="S8" s="100" t="n"/>
      <c r="T8" s="100" t="n"/>
      <c r="U8" s="100" t="n"/>
      <c r="V8" s="100" t="n"/>
      <c r="W8" s="100" t="n"/>
      <c r="X8" s="100" t="n"/>
      <c r="Y8" s="100" t="n"/>
      <c r="Z8" s="100" t="n"/>
      <c r="AA8" s="100" t="n"/>
      <c r="AB8" s="100" t="n"/>
      <c r="AC8" s="100" t="n"/>
      <c r="AD8" s="100" t="n"/>
      <c r="AE8" s="100" t="n"/>
      <c r="AF8" s="100" t="n"/>
      <c r="AG8" s="100" t="n"/>
    </row>
    <row r="9" ht="22.5" customHeight="1" s="136">
      <c r="A9" s="101" t="n">
        <v>46022</v>
      </c>
      <c r="B9" s="61" t="n">
        <v>46381</v>
      </c>
      <c r="C9" s="82" t="inlineStr">
        <is>
          <t>Acast</t>
        </is>
      </c>
      <c r="D9" s="82" t="inlineStr">
        <is>
          <t>DAI</t>
        </is>
      </c>
      <c r="E9" s="80" t="n">
        <v>1441.56</v>
      </c>
      <c r="F9" s="78" t="n"/>
      <c r="G9" s="80" t="n">
        <v>0</v>
      </c>
      <c r="H9" s="78" t="n"/>
      <c r="I9" s="81" t="n"/>
      <c r="J9" s="80" t="n"/>
      <c r="K9" s="81" t="n"/>
      <c r="L9" s="82" t="inlineStr">
        <is>
          <t>UNPAID</t>
        </is>
      </c>
      <c r="M9" s="82" t="inlineStr">
        <is>
          <t>PENDING</t>
        </is>
      </c>
      <c r="N9" s="82" t="inlineStr">
        <is>
          <t>Q1</t>
        </is>
      </c>
      <c r="O9" s="83" t="n"/>
      <c r="P9" s="100" t="n"/>
      <c r="Q9" s="100" t="n"/>
      <c r="R9" s="100" t="n"/>
      <c r="S9" s="100" t="n"/>
      <c r="T9" s="100" t="n"/>
      <c r="U9" s="100" t="n"/>
      <c r="V9" s="100" t="n"/>
      <c r="W9" s="100" t="n"/>
      <c r="X9" s="100" t="n"/>
      <c r="Y9" s="100" t="n"/>
      <c r="Z9" s="100" t="n"/>
      <c r="AA9" s="100" t="n"/>
      <c r="AB9" s="100" t="n"/>
      <c r="AC9" s="100" t="n"/>
      <c r="AD9" s="100" t="n"/>
      <c r="AE9" s="100" t="n"/>
      <c r="AF9" s="100" t="n"/>
      <c r="AG9" s="100" t="n"/>
    </row>
    <row r="10" ht="22.5" customHeight="1" s="136">
      <c r="A10" s="84" t="n">
        <v>46022</v>
      </c>
      <c r="B10" s="85" t="n">
        <v>46381</v>
      </c>
      <c r="C10" s="92" t="inlineStr">
        <is>
          <t>Culture Genesis</t>
        </is>
      </c>
      <c r="D10" s="87" t="inlineStr">
        <is>
          <t>Direct Sold</t>
        </is>
      </c>
      <c r="E10" s="96" t="n">
        <v>2887.07</v>
      </c>
      <c r="F10" s="89" t="n">
        <v>46066</v>
      </c>
      <c r="G10" s="96" t="n">
        <v>2887.07</v>
      </c>
      <c r="H10" s="89" t="n">
        <v>46057</v>
      </c>
      <c r="I10" s="95">
        <f>H10-A10</f>
        <v/>
      </c>
      <c r="J10" s="96">
        <f>G10-E10</f>
        <v/>
      </c>
      <c r="K10" s="91" t="inlineStr">
        <is>
          <t>Road Trippin' Podcast_2025-12 (Direct Sold).pdf</t>
        </is>
      </c>
      <c r="L10" s="92" t="inlineStr">
        <is>
          <t>PAID</t>
        </is>
      </c>
      <c r="M10" s="92" t="n"/>
      <c r="N10" s="92" t="inlineStr">
        <is>
          <t>Q2</t>
        </is>
      </c>
      <c r="O10" s="93" t="n"/>
      <c r="P10" s="102" t="n"/>
      <c r="Q10" s="102" t="n"/>
      <c r="R10" s="102" t="n"/>
      <c r="S10" s="102" t="n"/>
      <c r="T10" s="102" t="n"/>
      <c r="U10" s="102" t="n"/>
      <c r="V10" s="102" t="n"/>
      <c r="W10" s="102" t="n"/>
      <c r="X10" s="102" t="n"/>
      <c r="Y10" s="102" t="n"/>
      <c r="Z10" s="102" t="n"/>
      <c r="AA10" s="102" t="n"/>
      <c r="AB10" s="102" t="n"/>
      <c r="AC10" s="102" t="n"/>
      <c r="AD10" s="102" t="n"/>
      <c r="AE10" s="102" t="n"/>
      <c r="AF10" s="102" t="n"/>
      <c r="AG10" s="102" t="n"/>
    </row>
    <row r="11" ht="22.5" customHeight="1" s="136">
      <c r="A11" s="84" t="n">
        <v>46022</v>
      </c>
      <c r="B11" s="85" t="n">
        <v>46381</v>
      </c>
      <c r="C11" s="92" t="inlineStr">
        <is>
          <t>YouTube</t>
        </is>
      </c>
      <c r="D11" s="87" t="inlineStr">
        <is>
          <t>AdSense</t>
        </is>
      </c>
      <c r="E11" s="96" t="n">
        <v>14697.59</v>
      </c>
      <c r="F11" s="89" t="n">
        <v>46045</v>
      </c>
      <c r="G11" s="96" t="n">
        <v>14841.11</v>
      </c>
      <c r="H11" s="89" t="n">
        <v>46048</v>
      </c>
      <c r="I11" s="95">
        <f>H11-A11</f>
        <v/>
      </c>
      <c r="J11" s="96" t="n"/>
      <c r="K11" s="91" t="inlineStr">
        <is>
          <t>Road Trippin' Podcast_2025-12 (AdSense).pdf</t>
        </is>
      </c>
      <c r="L11" s="92" t="inlineStr">
        <is>
          <t>PAID</t>
        </is>
      </c>
      <c r="M11" s="92" t="n"/>
      <c r="N11" s="92" t="inlineStr">
        <is>
          <t>Q2</t>
        </is>
      </c>
      <c r="O11" s="93" t="n"/>
      <c r="P11" s="100" t="n"/>
      <c r="Q11" s="100" t="n"/>
      <c r="R11" s="100" t="n"/>
      <c r="S11" s="100" t="n"/>
      <c r="T11" s="100" t="n"/>
      <c r="U11" s="100" t="n"/>
      <c r="V11" s="100" t="n"/>
      <c r="W11" s="100" t="n"/>
      <c r="X11" s="100" t="n"/>
      <c r="Y11" s="100" t="n"/>
      <c r="Z11" s="100" t="n"/>
      <c r="AA11" s="100" t="n"/>
      <c r="AB11" s="100" t="n"/>
      <c r="AC11" s="100" t="n"/>
      <c r="AD11" s="100" t="n"/>
      <c r="AE11" s="100" t="n"/>
      <c r="AF11" s="100" t="n"/>
      <c r="AG11" s="100" t="n"/>
    </row>
    <row r="12" ht="22.5" customHeight="1" s="136">
      <c r="A12" s="84" t="n">
        <v>46005</v>
      </c>
      <c r="B12" s="85" t="n">
        <v>46381</v>
      </c>
      <c r="C12" s="98" t="inlineStr">
        <is>
          <t>Threads</t>
        </is>
      </c>
      <c r="D12" s="87" t="inlineStr">
        <is>
          <t>Presenting</t>
        </is>
      </c>
      <c r="E12" s="96" t="n">
        <v>45000</v>
      </c>
      <c r="F12" s="89" t="n"/>
      <c r="G12" s="96" t="n">
        <v>45000</v>
      </c>
      <c r="H12" s="84" t="n">
        <v>46066</v>
      </c>
      <c r="I12" s="90">
        <f>H12-A12</f>
        <v/>
      </c>
      <c r="J12" s="96" t="n"/>
      <c r="K12" s="97" t="inlineStr">
        <is>
          <t>Threads Payment Receipt_2.13.26.jpeg</t>
        </is>
      </c>
      <c r="L12" s="98" t="inlineStr">
        <is>
          <t>PAID</t>
        </is>
      </c>
      <c r="M12" s="98" t="n"/>
      <c r="N12" s="98" t="inlineStr">
        <is>
          <t>Q2</t>
        </is>
      </c>
      <c r="O12" s="103" t="inlineStr">
        <is>
          <t>10% of $50k to manager</t>
        </is>
      </c>
      <c r="P12" s="102" t="n"/>
      <c r="Q12" s="102" t="n"/>
      <c r="R12" s="102" t="n"/>
      <c r="S12" s="102" t="n"/>
      <c r="T12" s="102" t="n"/>
      <c r="U12" s="102" t="n"/>
      <c r="V12" s="102" t="n"/>
      <c r="W12" s="102" t="n"/>
      <c r="X12" s="102" t="n"/>
      <c r="Y12" s="102" t="n"/>
      <c r="Z12" s="102" t="n"/>
      <c r="AA12" s="102" t="n"/>
      <c r="AB12" s="102" t="n"/>
      <c r="AC12" s="102" t="n"/>
      <c r="AD12" s="102" t="n"/>
      <c r="AE12" s="102" t="n"/>
      <c r="AF12" s="102" t="n"/>
      <c r="AG12" s="102" t="n"/>
    </row>
    <row r="13" ht="22.5" customHeight="1" s="136">
      <c r="A13" s="101" t="n">
        <v>45991</v>
      </c>
      <c r="B13" s="61" t="n">
        <v>46351</v>
      </c>
      <c r="C13" s="82" t="inlineStr">
        <is>
          <t>Acast</t>
        </is>
      </c>
      <c r="D13" s="82" t="inlineStr">
        <is>
          <t>DAI</t>
        </is>
      </c>
      <c r="E13" s="80" t="n">
        <v>2219.65</v>
      </c>
      <c r="F13" s="78" t="n"/>
      <c r="G13" s="80" t="n">
        <v>0</v>
      </c>
      <c r="H13" s="78" t="n">
        <v>46000</v>
      </c>
      <c r="I13" s="81">
        <f>H13-A13</f>
        <v/>
      </c>
      <c r="J13" s="80" t="n"/>
      <c r="K13" s="81" t="n"/>
      <c r="L13" s="82" t="inlineStr">
        <is>
          <t>UNPAID</t>
        </is>
      </c>
      <c r="M13" s="82" t="inlineStr">
        <is>
          <t>PENDING</t>
        </is>
      </c>
      <c r="N13" s="82" t="inlineStr">
        <is>
          <t>Q1</t>
        </is>
      </c>
      <c r="O13" s="83" t="n"/>
      <c r="P13" s="102" t="n"/>
      <c r="Q13" s="102" t="n"/>
      <c r="R13" s="102" t="n"/>
      <c r="S13" s="102" t="n"/>
      <c r="T13" s="102" t="n"/>
      <c r="U13" s="102" t="n"/>
      <c r="V13" s="102" t="n"/>
      <c r="W13" s="102" t="n"/>
      <c r="X13" s="102" t="n"/>
      <c r="Y13" s="102" t="n"/>
      <c r="Z13" s="102" t="n"/>
      <c r="AA13" s="102" t="n"/>
      <c r="AB13" s="102" t="n"/>
      <c r="AC13" s="102" t="n"/>
      <c r="AD13" s="102" t="n"/>
      <c r="AE13" s="102" t="n"/>
      <c r="AF13" s="102" t="n"/>
      <c r="AG13" s="102" t="n"/>
    </row>
    <row r="14" ht="22.5" customHeight="1" s="136">
      <c r="A14" s="104" t="n">
        <v>45991</v>
      </c>
      <c r="B14" s="105" t="n">
        <v>46351</v>
      </c>
      <c r="C14" s="92" t="inlineStr">
        <is>
          <t>YouTube</t>
        </is>
      </c>
      <c r="D14" s="92" t="inlineStr">
        <is>
          <t>AdSense</t>
        </is>
      </c>
      <c r="E14" s="106" t="n">
        <v>8221.799999999999</v>
      </c>
      <c r="F14" s="107" t="n">
        <v>46014</v>
      </c>
      <c r="G14" s="106" t="n">
        <v>8454.690000000001</v>
      </c>
      <c r="H14" s="107" t="n">
        <v>46014</v>
      </c>
      <c r="I14" s="95">
        <f>H14-A14</f>
        <v/>
      </c>
      <c r="J14" s="106">
        <f>G14-E14</f>
        <v/>
      </c>
      <c r="K14" s="91" t="inlineStr">
        <is>
          <t>Road Trippin' Podcast_2025-11 (AdSense).pdf</t>
        </is>
      </c>
      <c r="L14" s="92" t="inlineStr">
        <is>
          <t>PAID</t>
        </is>
      </c>
      <c r="M14" s="92" t="n"/>
      <c r="N14" s="92" t="inlineStr">
        <is>
          <t>Q1</t>
        </is>
      </c>
      <c r="O14" s="93" t="n"/>
      <c r="P14" s="74" t="n"/>
      <c r="Q14" s="74" t="n"/>
      <c r="R14" s="74" t="n"/>
      <c r="S14" s="74" t="n"/>
      <c r="T14" s="74" t="n"/>
      <c r="U14" s="74" t="n"/>
      <c r="V14" s="74" t="n"/>
      <c r="W14" s="74" t="n"/>
      <c r="X14" s="74" t="n"/>
      <c r="Y14" s="74" t="n"/>
      <c r="Z14" s="74" t="n"/>
      <c r="AA14" s="74" t="n"/>
      <c r="AB14" s="74" t="n"/>
      <c r="AC14" s="74" t="n"/>
      <c r="AD14" s="74" t="n"/>
      <c r="AE14" s="74" t="n"/>
      <c r="AF14" s="74" t="n"/>
      <c r="AG14" s="74" t="n"/>
    </row>
    <row r="15" ht="22.5" customHeight="1" s="136">
      <c r="A15" s="101" t="n">
        <v>45961</v>
      </c>
      <c r="B15" s="61" t="n">
        <v>46320</v>
      </c>
      <c r="C15" s="82" t="inlineStr">
        <is>
          <t>Acast</t>
        </is>
      </c>
      <c r="D15" s="82" t="inlineStr">
        <is>
          <t>DAI</t>
        </is>
      </c>
      <c r="E15" s="80" t="n">
        <v>837.92</v>
      </c>
      <c r="F15" s="78" t="n"/>
      <c r="G15" s="80" t="n">
        <v>0</v>
      </c>
      <c r="H15" s="78" t="n">
        <v>45972</v>
      </c>
      <c r="I15" s="81">
        <f>H15-A15</f>
        <v/>
      </c>
      <c r="J15" s="80" t="n"/>
      <c r="K15" s="81" t="n"/>
      <c r="L15" s="82" t="inlineStr">
        <is>
          <t>UNPAID</t>
        </is>
      </c>
      <c r="M15" s="82" t="inlineStr">
        <is>
          <t>PAID</t>
        </is>
      </c>
      <c r="N15" s="82" t="inlineStr">
        <is>
          <t>Q1</t>
        </is>
      </c>
      <c r="O15" s="83" t="n"/>
      <c r="P15" s="74" t="n"/>
      <c r="Q15" s="74" t="n"/>
      <c r="R15" s="74" t="n"/>
      <c r="S15" s="74" t="n"/>
      <c r="T15" s="74" t="n"/>
      <c r="U15" s="74" t="n"/>
      <c r="V15" s="74" t="n"/>
      <c r="W15" s="74" t="n"/>
      <c r="X15" s="74" t="n"/>
      <c r="Y15" s="74" t="n"/>
      <c r="Z15" s="74" t="n"/>
      <c r="AA15" s="74" t="n"/>
      <c r="AB15" s="74" t="n"/>
      <c r="AC15" s="74" t="n"/>
      <c r="AD15" s="74" t="n"/>
      <c r="AE15" s="74" t="n"/>
      <c r="AF15" s="74" t="n"/>
      <c r="AG15" s="74" t="n"/>
    </row>
    <row r="16" ht="22.5" customHeight="1" s="136">
      <c r="A16" s="104" t="n">
        <v>45961</v>
      </c>
      <c r="B16" s="105" t="n">
        <v>46320</v>
      </c>
      <c r="C16" s="92" t="inlineStr">
        <is>
          <t>Culture Genesis</t>
        </is>
      </c>
      <c r="D16" s="92" t="inlineStr">
        <is>
          <t>Direct Sold</t>
        </is>
      </c>
      <c r="E16" s="106" t="n">
        <v>1520.75</v>
      </c>
      <c r="F16" s="107" t="n">
        <v>46006</v>
      </c>
      <c r="G16" s="106" t="n">
        <v>1520.75</v>
      </c>
      <c r="H16" s="107" t="n">
        <v>46009</v>
      </c>
      <c r="I16" s="95">
        <f>H16-A16</f>
        <v/>
      </c>
      <c r="J16" s="106">
        <f>G16-E16</f>
        <v/>
      </c>
      <c r="K16" s="91" t="inlineStr">
        <is>
          <t>Road Trippin' Podcast_2025-10 (Direct Sold).pdf</t>
        </is>
      </c>
      <c r="L16" s="92" t="inlineStr">
        <is>
          <t>PAID</t>
        </is>
      </c>
      <c r="M16" s="92" t="n"/>
      <c r="N16" s="92" t="inlineStr">
        <is>
          <t>Q1</t>
        </is>
      </c>
      <c r="O16" s="93" t="n"/>
      <c r="P16" s="74" t="n"/>
      <c r="Q16" s="74" t="n"/>
      <c r="R16" s="74" t="n"/>
      <c r="S16" s="74" t="n"/>
      <c r="T16" s="74" t="n"/>
      <c r="U16" s="74" t="n"/>
      <c r="V16" s="74" t="n"/>
      <c r="W16" s="74" t="n"/>
      <c r="X16" s="74" t="n"/>
      <c r="Y16" s="74" t="n"/>
      <c r="Z16" s="74" t="n"/>
      <c r="AA16" s="74" t="n"/>
      <c r="AB16" s="74" t="n"/>
      <c r="AC16" s="74" t="n"/>
      <c r="AD16" s="74" t="n"/>
      <c r="AE16" s="74" t="n"/>
      <c r="AF16" s="74" t="n"/>
      <c r="AG16" s="74" t="n"/>
    </row>
    <row r="17" ht="22.5" customHeight="1" s="136">
      <c r="A17" s="104" t="n">
        <v>45961</v>
      </c>
      <c r="B17" s="105" t="n">
        <v>46320</v>
      </c>
      <c r="C17" s="92" t="inlineStr">
        <is>
          <t>YouTube</t>
        </is>
      </c>
      <c r="D17" s="92" t="inlineStr">
        <is>
          <t>AdSense</t>
        </is>
      </c>
      <c r="E17" s="106" t="n">
        <v>4991.91</v>
      </c>
      <c r="F17" s="107" t="n">
        <v>45986</v>
      </c>
      <c r="G17" s="106" t="n">
        <v>4991.91</v>
      </c>
      <c r="H17" s="107" t="n">
        <v>45986</v>
      </c>
      <c r="I17" s="95">
        <f>H17-A17</f>
        <v/>
      </c>
      <c r="J17" s="106">
        <f>G17-E17</f>
        <v/>
      </c>
      <c r="K17" s="91" t="inlineStr">
        <is>
          <t>Road Trippin' Podcast_2025-10 (AdSense).pdf</t>
        </is>
      </c>
      <c r="L17" s="92" t="inlineStr">
        <is>
          <t>PAID</t>
        </is>
      </c>
      <c r="M17" s="92" t="n"/>
      <c r="N17" s="92" t="inlineStr">
        <is>
          <t>Q1</t>
        </is>
      </c>
      <c r="O17" s="93" t="n"/>
      <c r="P17" s="74" t="n"/>
      <c r="Q17" s="74" t="n"/>
      <c r="R17" s="74" t="n"/>
      <c r="S17" s="74" t="n"/>
      <c r="T17" s="74" t="n"/>
      <c r="U17" s="74" t="n"/>
      <c r="V17" s="74" t="n"/>
      <c r="W17" s="74" t="n"/>
      <c r="X17" s="74" t="n"/>
      <c r="Y17" s="74" t="n"/>
      <c r="Z17" s="74" t="n"/>
      <c r="AA17" s="74" t="n"/>
      <c r="AB17" s="74" t="n"/>
      <c r="AC17" s="74" t="n"/>
      <c r="AD17" s="74" t="n"/>
      <c r="AE17" s="74" t="n"/>
      <c r="AF17" s="74" t="n"/>
      <c r="AG17" s="74" t="n"/>
    </row>
    <row r="18" ht="22.5" customHeight="1" s="136">
      <c r="A18" s="101" t="n">
        <v>45930</v>
      </c>
      <c r="B18" s="61" t="n">
        <v>46290</v>
      </c>
      <c r="C18" s="82" t="inlineStr">
        <is>
          <t>Acast</t>
        </is>
      </c>
      <c r="D18" s="82" t="inlineStr">
        <is>
          <t>DAI</t>
        </is>
      </c>
      <c r="E18" s="80" t="n">
        <v>918.7</v>
      </c>
      <c r="F18" s="78" t="n"/>
      <c r="G18" s="80" t="n">
        <v>0</v>
      </c>
      <c r="H18" s="78" t="n">
        <v>45937</v>
      </c>
      <c r="I18" s="81">
        <f>H18-A18</f>
        <v/>
      </c>
      <c r="J18" s="80" t="n"/>
      <c r="K18" s="81" t="n"/>
      <c r="L18" s="82" t="inlineStr">
        <is>
          <t>UNPAID</t>
        </is>
      </c>
      <c r="M18" s="82" t="inlineStr">
        <is>
          <t>PAID</t>
        </is>
      </c>
      <c r="N18" s="82" t="inlineStr">
        <is>
          <t>Q0</t>
        </is>
      </c>
      <c r="O18" s="83" t="n"/>
      <c r="P18" s="74" t="n"/>
      <c r="Q18" s="74" t="n"/>
      <c r="R18" s="74" t="n"/>
      <c r="S18" s="74" t="n"/>
      <c r="T18" s="74" t="n"/>
      <c r="U18" s="74" t="n"/>
      <c r="V18" s="74" t="n"/>
      <c r="W18" s="74" t="n"/>
      <c r="X18" s="74" t="n"/>
      <c r="Y18" s="74" t="n"/>
      <c r="Z18" s="74" t="n"/>
      <c r="AA18" s="74" t="n"/>
      <c r="AB18" s="74" t="n"/>
      <c r="AC18" s="74" t="n"/>
      <c r="AD18" s="74" t="n"/>
      <c r="AE18" s="74" t="n"/>
      <c r="AF18" s="74" t="n"/>
      <c r="AG18" s="74" t="n"/>
    </row>
    <row r="19" ht="22.5" customHeight="1" s="136">
      <c r="A19" s="104" t="n">
        <v>45930</v>
      </c>
      <c r="B19" s="105" t="n">
        <v>46290</v>
      </c>
      <c r="C19" s="92" t="inlineStr">
        <is>
          <t>Culture Genesis</t>
        </is>
      </c>
      <c r="D19" s="92" t="inlineStr">
        <is>
          <t>Direct Sold</t>
        </is>
      </c>
      <c r="E19" s="106" t="n">
        <v>365.06</v>
      </c>
      <c r="F19" s="107" t="n">
        <v>45975</v>
      </c>
      <c r="G19" s="106" t="n">
        <v>365.06</v>
      </c>
      <c r="H19" s="107" t="n">
        <v>45974</v>
      </c>
      <c r="I19" s="95">
        <f>H19-A19</f>
        <v/>
      </c>
      <c r="J19" s="106">
        <f>G19-E19</f>
        <v/>
      </c>
      <c r="K19" s="91" t="inlineStr">
        <is>
          <t>Road Trippin' Podcast_2025-09 (Direct Sold).pdf</t>
        </is>
      </c>
      <c r="L19" s="92" t="inlineStr">
        <is>
          <t>PAID</t>
        </is>
      </c>
      <c r="M19" s="92" t="n"/>
      <c r="N19" s="92" t="inlineStr">
        <is>
          <t>Q0</t>
        </is>
      </c>
      <c r="O19" s="93" t="n"/>
      <c r="P19" s="100" t="n"/>
      <c r="Q19" s="100" t="n"/>
      <c r="R19" s="100" t="n"/>
      <c r="S19" s="100" t="n"/>
      <c r="T19" s="100" t="n"/>
      <c r="U19" s="100" t="n"/>
      <c r="V19" s="100" t="n"/>
      <c r="W19" s="100" t="n"/>
      <c r="X19" s="100" t="n"/>
      <c r="Y19" s="100" t="n"/>
      <c r="Z19" s="100" t="n"/>
      <c r="AA19" s="100" t="n"/>
      <c r="AB19" s="100" t="n"/>
      <c r="AC19" s="100" t="n"/>
      <c r="AD19" s="100" t="n"/>
      <c r="AE19" s="100" t="n"/>
      <c r="AF19" s="100" t="n"/>
      <c r="AG19" s="100" t="n"/>
    </row>
    <row r="20" ht="22.5" customHeight="1" s="136">
      <c r="A20" s="104" t="n">
        <v>45930</v>
      </c>
      <c r="B20" s="105" t="n">
        <v>46290</v>
      </c>
      <c r="C20" s="92" t="inlineStr">
        <is>
          <t>YouTube</t>
        </is>
      </c>
      <c r="D20" s="92" t="inlineStr">
        <is>
          <t>AdSense</t>
        </is>
      </c>
      <c r="E20" s="106" t="n">
        <v>2591.49</v>
      </c>
      <c r="F20" s="107" t="n">
        <v>45954</v>
      </c>
      <c r="G20" s="106" t="n">
        <v>2600.29</v>
      </c>
      <c r="H20" s="107" t="n">
        <v>45953</v>
      </c>
      <c r="I20" s="95">
        <f>H20-A20</f>
        <v/>
      </c>
      <c r="J20" s="106">
        <f>G20-E20</f>
        <v/>
      </c>
      <c r="K20" s="91" t="inlineStr">
        <is>
          <t>Road Trippin' Podcast_2025-09 (AdSense).pdf</t>
        </is>
      </c>
      <c r="L20" s="92" t="inlineStr">
        <is>
          <t>PAID</t>
        </is>
      </c>
      <c r="M20" s="92" t="n"/>
      <c r="N20" s="92" t="inlineStr">
        <is>
          <t>Q0</t>
        </is>
      </c>
      <c r="O20" s="93" t="n"/>
      <c r="P20" s="100" t="n"/>
      <c r="Q20" s="100" t="n"/>
      <c r="R20" s="100" t="n"/>
      <c r="S20" s="100" t="n"/>
      <c r="T20" s="100" t="n"/>
      <c r="U20" s="100" t="n"/>
      <c r="V20" s="100" t="n"/>
      <c r="W20" s="100" t="n"/>
      <c r="X20" s="100" t="n"/>
      <c r="Y20" s="100" t="n"/>
      <c r="Z20" s="100" t="n"/>
      <c r="AA20" s="100" t="n"/>
      <c r="AB20" s="100" t="n"/>
      <c r="AC20" s="100" t="n"/>
      <c r="AD20" s="100" t="n"/>
      <c r="AE20" s="100" t="n"/>
      <c r="AF20" s="100" t="n"/>
      <c r="AG20" s="100" t="n"/>
    </row>
    <row r="21" ht="22.5" customHeight="1" s="136">
      <c r="A21" s="101" t="n">
        <v>45900</v>
      </c>
      <c r="B21" s="61" t="n">
        <v>46259</v>
      </c>
      <c r="C21" s="82" t="inlineStr">
        <is>
          <t>Acast</t>
        </is>
      </c>
      <c r="D21" s="82" t="inlineStr">
        <is>
          <t>DAI</t>
        </is>
      </c>
      <c r="E21" s="80" t="n">
        <v>89.59999999999999</v>
      </c>
      <c r="F21" s="78" t="n"/>
      <c r="G21" s="80" t="n"/>
      <c r="H21" s="78" t="n">
        <v>45937</v>
      </c>
      <c r="I21" s="81">
        <f>H21-A21</f>
        <v/>
      </c>
      <c r="J21" s="80" t="n"/>
      <c r="K21" s="81" t="n"/>
      <c r="L21" s="82" t="inlineStr">
        <is>
          <t>UNPAID</t>
        </is>
      </c>
      <c r="M21" s="82" t="inlineStr">
        <is>
          <t>PAID</t>
        </is>
      </c>
      <c r="N21" s="82" t="inlineStr">
        <is>
          <t>Q0</t>
        </is>
      </c>
      <c r="O21" s="83" t="n"/>
      <c r="P21" s="100" t="n"/>
      <c r="Q21" s="100" t="n"/>
      <c r="R21" s="100" t="n"/>
      <c r="S21" s="100" t="n"/>
      <c r="T21" s="100" t="n"/>
      <c r="U21" s="100" t="n"/>
      <c r="V21" s="100" t="n"/>
      <c r="W21" s="100" t="n"/>
      <c r="X21" s="100" t="n"/>
      <c r="Y21" s="100" t="n"/>
      <c r="Z21" s="100" t="n"/>
      <c r="AA21" s="100" t="n"/>
      <c r="AB21" s="100" t="n"/>
      <c r="AC21" s="100" t="n"/>
      <c r="AD21" s="100" t="n"/>
      <c r="AE21" s="100" t="n"/>
      <c r="AF21" s="100" t="n"/>
      <c r="AG21" s="100" t="n"/>
    </row>
    <row r="22" ht="22.5" customHeight="1" s="136">
      <c r="A22" s="104" t="n">
        <v>45900</v>
      </c>
      <c r="B22" s="105" t="n">
        <v>46259</v>
      </c>
      <c r="C22" s="92" t="inlineStr">
        <is>
          <t>Culture Genesis</t>
        </is>
      </c>
      <c r="D22" s="92" t="inlineStr">
        <is>
          <t>Direct Sold</t>
        </is>
      </c>
      <c r="E22" s="106" t="n">
        <v>714.9299999999999</v>
      </c>
      <c r="F22" s="107" t="n">
        <v>45945</v>
      </c>
      <c r="G22" s="106" t="n">
        <v>714.9299999999999</v>
      </c>
      <c r="H22" s="107" t="n">
        <v>45973</v>
      </c>
      <c r="I22" s="95">
        <f>H22-A22</f>
        <v/>
      </c>
      <c r="J22" s="106">
        <f>G22-E22</f>
        <v/>
      </c>
      <c r="K22" s="91" t="inlineStr">
        <is>
          <t>Road Trippin' Podcast_2025-08 (Direct Sold).pdf</t>
        </is>
      </c>
      <c r="L22" s="92" t="inlineStr">
        <is>
          <t>PAID</t>
        </is>
      </c>
      <c r="M22" s="92" t="n"/>
      <c r="N22" s="92" t="inlineStr">
        <is>
          <t>Q0</t>
        </is>
      </c>
      <c r="O22" s="93" t="n"/>
      <c r="P22" s="100" t="n"/>
      <c r="Q22" s="100" t="n"/>
      <c r="R22" s="100" t="n"/>
      <c r="S22" s="100" t="n"/>
      <c r="T22" s="100" t="n"/>
      <c r="U22" s="100" t="n"/>
      <c r="V22" s="100" t="n"/>
      <c r="W22" s="100" t="n"/>
      <c r="X22" s="100" t="n"/>
      <c r="Y22" s="100" t="n"/>
      <c r="Z22" s="100" t="n"/>
      <c r="AA22" s="100" t="n"/>
      <c r="AB22" s="100" t="n"/>
      <c r="AC22" s="100" t="n"/>
      <c r="AD22" s="100" t="n"/>
      <c r="AE22" s="100" t="n"/>
      <c r="AF22" s="100" t="n"/>
      <c r="AG22" s="100" t="n"/>
    </row>
    <row r="23" ht="22.5" customHeight="1" s="136">
      <c r="A23" s="104" t="n">
        <v>45900</v>
      </c>
      <c r="B23" s="105" t="n">
        <v>46259</v>
      </c>
      <c r="C23" s="92" t="inlineStr">
        <is>
          <t>YouTube</t>
        </is>
      </c>
      <c r="D23" s="92" t="inlineStr">
        <is>
          <t>AdSense</t>
        </is>
      </c>
      <c r="E23" s="106" t="n">
        <v>5444.18</v>
      </c>
      <c r="F23" s="107" t="n">
        <v>45925</v>
      </c>
      <c r="G23" s="106" t="n">
        <v>5603.22</v>
      </c>
      <c r="H23" s="107" t="n">
        <v>45925</v>
      </c>
      <c r="I23" s="95">
        <f>H23-A23</f>
        <v/>
      </c>
      <c r="J23" s="106">
        <f>G23-E23</f>
        <v/>
      </c>
      <c r="K23" s="91" t="inlineStr">
        <is>
          <t>Road Trippin' Podcast_2025-08 (AdSense).pdf</t>
        </is>
      </c>
      <c r="L23" s="92" t="inlineStr">
        <is>
          <t>PAID</t>
        </is>
      </c>
      <c r="M23" s="92" t="n"/>
      <c r="N23" s="92" t="inlineStr">
        <is>
          <t>Q0</t>
        </is>
      </c>
      <c r="O23" s="93" t="n"/>
      <c r="P23" s="100" t="n"/>
      <c r="Q23" s="100" t="n"/>
      <c r="R23" s="100" t="n"/>
      <c r="S23" s="100" t="n"/>
      <c r="T23" s="100" t="n"/>
      <c r="U23" s="100" t="n"/>
      <c r="V23" s="100" t="n"/>
      <c r="W23" s="100" t="n"/>
      <c r="X23" s="100" t="n"/>
      <c r="Y23" s="100" t="n"/>
      <c r="Z23" s="100" t="n"/>
      <c r="AA23" s="100" t="n"/>
      <c r="AB23" s="100" t="n"/>
      <c r="AC23" s="100" t="n"/>
      <c r="AD23" s="100" t="n"/>
      <c r="AE23" s="100" t="n"/>
      <c r="AF23" s="100" t="n"/>
      <c r="AG23" s="100" t="n"/>
    </row>
    <row r="24" ht="22.5" customHeight="1" s="136">
      <c r="A24" s="60" t="n"/>
      <c r="B24" s="61" t="n"/>
      <c r="C24" s="72" t="inlineStr">
        <is>
          <t>Happy Jewelers</t>
        </is>
      </c>
      <c r="D24" s="72" t="inlineStr">
        <is>
          <t>Direct Sold</t>
        </is>
      </c>
      <c r="E24" s="66" t="n">
        <v>0</v>
      </c>
      <c r="F24" s="73" t="n"/>
      <c r="G24" s="66" t="n"/>
      <c r="H24" s="73" t="n"/>
      <c r="I24" s="67" t="n"/>
      <c r="J24" s="66" t="n"/>
      <c r="K24" s="67" t="n"/>
      <c r="L24" s="72" t="n"/>
      <c r="M24" s="72" t="n"/>
      <c r="N24" s="72" t="n"/>
      <c r="O24" s="69" t="n"/>
      <c r="P24" s="100" t="n"/>
      <c r="Q24" s="100" t="n"/>
      <c r="R24" s="100" t="n"/>
      <c r="S24" s="100" t="n"/>
      <c r="T24" s="100" t="n"/>
      <c r="U24" s="100" t="n"/>
      <c r="V24" s="100" t="n"/>
      <c r="W24" s="100" t="n"/>
      <c r="X24" s="100" t="n"/>
      <c r="Y24" s="100" t="n"/>
      <c r="Z24" s="100" t="n"/>
      <c r="AA24" s="100" t="n"/>
      <c r="AB24" s="100" t="n"/>
      <c r="AC24" s="100" t="n"/>
      <c r="AD24" s="100" t="n"/>
      <c r="AE24" s="100" t="n"/>
      <c r="AF24" s="100" t="n"/>
      <c r="AG24" s="100" t="n"/>
    </row>
  </sheetData>
  <autoFilter ref="$A$1:$O$24">
    <sortState ref="A1:O24">
      <sortCondition ref="A1:A24"/>
      <sortCondition ref="B1:B24"/>
    </sortState>
  </autoFilter>
  <conditionalFormatting sqref="J1:J24">
    <cfRule type="cellIs" priority="1" operator="greaterThan" dxfId="10">
      <formula>0</formula>
    </cfRule>
    <cfRule type="cellIs" priority="2" operator="lessThan" dxfId="11">
      <formula>0</formula>
    </cfRule>
  </conditionalFormatting>
  <dataValidations count="9">
    <dataValidation sqref="N2:N24" showDropDown="0" showInputMessage="0" showErrorMessage="0" allowBlank="1" type="list">
      <formula1>"Q0,Q1,Q2,Q3,Q4"</formula1>
    </dataValidation>
    <dataValidation sqref="A2:A24 H2:H24" showDropDown="1" showInputMessage="0" showErrorMessage="0" allowBlank="1" type="custom">
      <formula1>OR(NOT(ISERROR(DATEVALUE(A2))), AND(ISNUMBER(A2), LEFT(CELL("format", A2))="D"))</formula1>
    </dataValidation>
    <dataValidation sqref="F2:F24" showDropDown="1" showInputMessage="0" showErrorMessage="0" allowBlank="1" type="custom">
      <formula1>OR(NOT(ISERROR(DATEVALUE(F2))), AND(ISNUMBER(F2), LEFT(CELL("format", F2))="D"))</formula1>
    </dataValidation>
    <dataValidation sqref="O2:O24" showDropDown="1" showInputMessage="0" showErrorMessage="0" allowBlank="1"/>
    <dataValidation sqref="D2:D24" showDropDown="0" showInputMessage="0" showErrorMessage="0" allowBlank="1" type="list">
      <formula1>"AdSense,Direct Sold,Presenting,DAI,Various"</formula1>
    </dataValidation>
    <dataValidation sqref="G2:G24 J2:J24" showDropDown="1" showInputMessage="0" showErrorMessage="0" allowBlank="1" type="custom">
      <formula1>AND(ISNUMBER(G2),(NOT(OR(NOT(ISERROR(DATEVALUE(G2))), AND(ISNUMBER(G2), LEFT(CELL("format", G2))="D")))))</formula1>
    </dataValidation>
    <dataValidation sqref="M2:M24" showDropDown="0" showInputMessage="0" showErrorMessage="0" allowBlank="1" type="list">
      <formula1>"PROJECTED,BOOKED,PENDING,PAID"</formula1>
    </dataValidation>
    <dataValidation sqref="C2:C24" showDropDown="0" showInputMessage="0" showErrorMessage="0" allowBlank="1" type="list">
      <formula1>"YouTube,Culture Genesis,Acast,Threads,Backyard Ventures,Happy Jewelers"</formula1>
    </dataValidation>
    <dataValidation sqref="L2:L24" showDropDown="0" showInputMessage="0" showErrorMessage="0" allowBlank="1" type="list">
      <formula1>"PROJECTED,BOOKED,PENDING,PAID,UNPAID,UNSURE?"</formula1>
    </dataValidation>
  </dataValidations>
  <hyperlinks>
    <hyperlink xmlns:r="http://schemas.openxmlformats.org/officeDocument/2006/relationships" ref="K7" r:id="rId1"/>
    <hyperlink xmlns:r="http://schemas.openxmlformats.org/officeDocument/2006/relationships" ref="K8" r:id="rId2"/>
    <hyperlink xmlns:r="http://schemas.openxmlformats.org/officeDocument/2006/relationships" ref="K10" r:id="rId3"/>
    <hyperlink xmlns:r="http://schemas.openxmlformats.org/officeDocument/2006/relationships" ref="K11" r:id="rId4"/>
    <hyperlink xmlns:r="http://schemas.openxmlformats.org/officeDocument/2006/relationships" ref="K12" r:id="rId5"/>
    <hyperlink xmlns:r="http://schemas.openxmlformats.org/officeDocument/2006/relationships" ref="K14" r:id="rId6"/>
    <hyperlink xmlns:r="http://schemas.openxmlformats.org/officeDocument/2006/relationships" ref="K16" r:id="rId7"/>
    <hyperlink xmlns:r="http://schemas.openxmlformats.org/officeDocument/2006/relationships" ref="K17" r:id="rId8"/>
    <hyperlink xmlns:r="http://schemas.openxmlformats.org/officeDocument/2006/relationships" ref="K19" r:id="rId9"/>
    <hyperlink xmlns:r="http://schemas.openxmlformats.org/officeDocument/2006/relationships" ref="K20" r:id="rId10"/>
    <hyperlink xmlns:r="http://schemas.openxmlformats.org/officeDocument/2006/relationships" ref="K22" r:id="rId11"/>
    <hyperlink xmlns:r="http://schemas.openxmlformats.org/officeDocument/2006/relationships" ref="K23" r:id="rId12"/>
  </hyperlink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3"/>
  </tableParts>
</worksheet>
</file>

<file path=xl/worksheets/sheet3.xml><?xml version="1.0" encoding="utf-8"?>
<worksheet xmlns="http://schemas.openxmlformats.org/spreadsheetml/2006/main">
  <sheetPr>
    <tabColor rgb="FFFF0000"/>
    <outlinePr summaryBelow="1" summaryRight="1"/>
    <pageSetUpPr/>
  </sheetPr>
  <dimension ref="A1:H27"/>
  <sheetViews>
    <sheetView workbookViewId="0">
      <pane ySplit="2" topLeftCell="A3" activePane="bottomLeft" state="frozen"/>
      <selection pane="bottomLeft" activeCell="B4" sqref="B4"/>
    </sheetView>
  </sheetViews>
  <sheetFormatPr baseColWidth="8" defaultColWidth="14.43" defaultRowHeight="15" customHeight="1"/>
  <cols>
    <col width="21.14" customWidth="1" style="136" min="1" max="1"/>
    <col width="18" customWidth="1" style="136" min="2" max="3"/>
    <col width="15" customWidth="1" style="136" min="4" max="4"/>
    <col width="20.57" customWidth="1" style="136" min="5" max="5"/>
    <col width="12" customWidth="1" style="136" min="6" max="6"/>
    <col width="23.14" customWidth="1" style="136" min="7" max="7"/>
    <col width="15" customWidth="1" style="136" min="8" max="8"/>
    <col width="8.710000000000001" customWidth="1" style="136" min="9" max="27"/>
  </cols>
  <sheetData>
    <row r="1" ht="15.75" customHeight="1" s="136">
      <c r="A1" s="108" t="inlineStr">
        <is>
          <t>MONTHLY &amp; QUARTERLY REVENUE</t>
        </is>
      </c>
      <c r="H1" s="109" t="n"/>
    </row>
    <row r="2" ht="15.75" customHeight="1" s="136">
      <c r="A2" s="110" t="inlineStr">
        <is>
          <t>Season: Oct 2025 - Sep 2026</t>
        </is>
      </c>
      <c r="B2" s="109" t="n"/>
      <c r="C2" s="109" t="n"/>
      <c r="D2" s="109" t="n"/>
      <c r="E2" s="109" t="n"/>
      <c r="F2" s="109" t="n"/>
      <c r="G2" s="109" t="n"/>
      <c r="H2" s="109" t="n"/>
    </row>
    <row r="3" ht="15.75" customHeight="1" s="136">
      <c r="A3" s="112" t="inlineStr">
        <is>
          <t>Month</t>
        </is>
      </c>
      <c r="B3" s="112" t="inlineStr">
        <is>
          <t>YouTube</t>
        </is>
      </c>
      <c r="C3" s="112" t="inlineStr">
        <is>
          <t>Culture Genesis</t>
        </is>
      </c>
      <c r="D3" s="112" t="inlineStr">
        <is>
          <t>Acast</t>
        </is>
      </c>
      <c r="E3" s="112" t="inlineStr">
        <is>
          <t>Backyard Ventures</t>
        </is>
      </c>
      <c r="F3" s="112" t="inlineStr">
        <is>
          <t>Other</t>
        </is>
      </c>
      <c r="G3" s="112" t="inlineStr">
        <is>
          <t>MONTHLY TOTAL</t>
        </is>
      </c>
      <c r="H3" s="109" t="n"/>
    </row>
    <row r="4" ht="15.75" customHeight="1" s="136">
      <c r="A4" s="113" t="inlineStr">
        <is>
          <t>Oct 2025</t>
        </is>
      </c>
      <c r="B4" s="135">
        <f>SUMPRODUCT(('💸 Pay Tracker'!$C$2:$C$80="YouTube")*(MONTH('💸 Pay Tracker'!$A$2:$A$80)=10)*(YEAR('💸 Pay Tracker'!$A$2:$A$80)=2025),'💸 Pay Tracker'!$G$2:$G$80)+SUMPRODUCT(('💸 Pay Tracker'!$C$2:$C$80="YouTube")*(MONTH('💸 Pay Tracker'!$A$2:$A$80)=10)*(YEAR('💸 Pay Tracker'!$A$2:$A$80)=2025)*('💸 Pay Tracker'!$G$2:$G$80=""),'💸 Pay Tracker'!$E$2:$E$80)</f>
        <v/>
      </c>
      <c r="C4" s="135">
        <f>SUMPRODUCT(('💸 Pay Tracker'!$C$2:$C$80="Culture Genesis")*(MONTH('💸 Pay Tracker'!$A$2:$A$80)=10)*(YEAR('💸 Pay Tracker'!$A$2:$A$80)=2025),'💸 Pay Tracker'!$G$2:$G$80)+SUMPRODUCT(('💸 Pay Tracker'!$C$2:$C$80="Culture Genesis")*(MONTH('💸 Pay Tracker'!$A$2:$A$80)=10)*(YEAR('💸 Pay Tracker'!$A$2:$A$80)=2025)*('💸 Pay Tracker'!$G$2:$G$80=""),'💸 Pay Tracker'!$E$2:$E$80)</f>
        <v/>
      </c>
      <c r="D4" s="135">
        <f>SUMPRODUCT(('💸 Pay Tracker'!$C$2:$C$80="Acast")*(MONTH('💸 Pay Tracker'!$A$2:$A$80)=10)*(YEAR('💸 Pay Tracker'!$A$2:$A$80)=2025),'💸 Pay Tracker'!$G$2:$G$80)+SUMPRODUCT(('💸 Pay Tracker'!$C$2:$C$80="Acast")*(MONTH('💸 Pay Tracker'!$A$2:$A$80)=10)*(YEAR('💸 Pay Tracker'!$A$2:$A$80)=2025)*('💸 Pay Tracker'!$G$2:$G$80=""),'💸 Pay Tracker'!$E$2:$E$80)</f>
        <v/>
      </c>
      <c r="E4" s="135" t="n"/>
      <c r="F4" s="135">
        <f>SUMPRODUCT(('💸 Pay Tracker'!$C$2:$C$80&lt;&gt;"YouTube")*('💸 Pay Tracker'!$C$2:$C$80&lt;&gt;"Culture Genesis")*('💸 Pay Tracker'!$C$2:$C$80&lt;&gt;"Acast")*('💸 Pay Tracker'!$C$2:$C$80&lt;&gt;"")*(MONTH('💸 Pay Tracker'!$A$2:$A$80)=10)*(YEAR('💸 Pay Tracker'!$A$2:$A$80)=2025),'💸 Pay Tracker'!$G$2:$G$80)</f>
        <v/>
      </c>
      <c r="G4" s="135">
        <f>SUM(B4:F4)</f>
        <v/>
      </c>
      <c r="H4" s="109" t="n"/>
    </row>
    <row r="5" ht="15.75" customHeight="1" s="136">
      <c r="A5" s="113" t="inlineStr">
        <is>
          <t>Nov 2025</t>
        </is>
      </c>
      <c r="B5" s="135">
        <f>SUMPRODUCT(('💸 Pay Tracker'!$C$2:$C$80="YouTube")*(MONTH('💸 Pay Tracker'!$A$2:$A$80)=11)*(YEAR('💸 Pay Tracker'!$A$2:$A$80)=2025),'💸 Pay Tracker'!$G$2:$G$80)+SUMPRODUCT(('💸 Pay Tracker'!$C$2:$C$80="YouTube")*(MONTH('💸 Pay Tracker'!$A$2:$A$80)=11)*(YEAR('💸 Pay Tracker'!$A$2:$A$80)=2025)*('💸 Pay Tracker'!$G$2:$G$80=""),'💸 Pay Tracker'!$E$2:$E$80)</f>
        <v/>
      </c>
      <c r="C5" s="135">
        <f>SUMPRODUCT(('💸 Pay Tracker'!$C$2:$C$80="Culture Genesis")*(MONTH('💸 Pay Tracker'!$A$2:$A$80)=11)*(YEAR('💸 Pay Tracker'!$A$2:$A$80)=2025),'💸 Pay Tracker'!$G$2:$G$80)+SUMPRODUCT(('💸 Pay Tracker'!$C$2:$C$80="Culture Genesis")*(MONTH('💸 Pay Tracker'!$A$2:$A$80)=11)*(YEAR('💸 Pay Tracker'!$A$2:$A$80)=2025)*('💸 Pay Tracker'!$G$2:$G$80=""),'💸 Pay Tracker'!$E$2:$E$80)</f>
        <v/>
      </c>
      <c r="D5" s="135">
        <f>SUMPRODUCT(('💸 Pay Tracker'!$C$2:$C$80="Acast")*(MONTH('💸 Pay Tracker'!$A$2:$A$80)=11)*(YEAR('💸 Pay Tracker'!$A$2:$A$80)=2025),'💸 Pay Tracker'!$G$2:$G$80)+SUMPRODUCT(('💸 Pay Tracker'!$C$2:$C$80="Acast")*(MONTH('💸 Pay Tracker'!$A$2:$A$80)=11)*(YEAR('💸 Pay Tracker'!$A$2:$A$80)=2025)*('💸 Pay Tracker'!$G$2:$G$80=""),'💸 Pay Tracker'!$E$2:$E$80)</f>
        <v/>
      </c>
      <c r="E5" s="135" t="n"/>
      <c r="F5" s="135">
        <f>SUMPRODUCT(('💸 Pay Tracker'!$C$2:$C$80&lt;&gt;"YouTube")*('💸 Pay Tracker'!$C$2:$C$80&lt;&gt;"Culture Genesis")*('💸 Pay Tracker'!$C$2:$C$80&lt;&gt;"Acast")*('💸 Pay Tracker'!$C$2:$C$80&lt;&gt;"")*(MONTH('💸 Pay Tracker'!$A$2:$A$80)=11)*(YEAR('💸 Pay Tracker'!$A$2:$A$80)=2025),'💸 Pay Tracker'!$G$2:$G$80)</f>
        <v/>
      </c>
      <c r="G5" s="135">
        <f>SUM(B5:F5)</f>
        <v/>
      </c>
      <c r="H5" s="109" t="n"/>
    </row>
    <row r="6" ht="15.75" customHeight="1" s="136">
      <c r="A6" s="113" t="inlineStr">
        <is>
          <t>Dec 2025</t>
        </is>
      </c>
      <c r="B6" s="135">
        <f>SUMPRODUCT(('💸 Pay Tracker'!$C$2:$C$80="YouTube")*(MONTH('💸 Pay Tracker'!$A$2:$A$80)=12)*(YEAR('💸 Pay Tracker'!$A$2:$A$80)=2025),'💸 Pay Tracker'!$G$2:$G$80)+SUMPRODUCT(('💸 Pay Tracker'!$C$2:$C$80="YouTube")*(MONTH('💸 Pay Tracker'!$A$2:$A$80)=12)*(YEAR('💸 Pay Tracker'!$A$2:$A$80)=2025)*('💸 Pay Tracker'!$G$2:$G$80=""),'💸 Pay Tracker'!$E$2:$E$80)</f>
        <v/>
      </c>
      <c r="C6" s="135">
        <f>SUMPRODUCT(('💸 Pay Tracker'!$C$2:$C$80="Culture Genesis")*(MONTH('💸 Pay Tracker'!$A$2:$A$80)=12)*(YEAR('💸 Pay Tracker'!$A$2:$A$80)=2025),'💸 Pay Tracker'!$G$2:$G$80)+SUMPRODUCT(('💸 Pay Tracker'!$C$2:$C$80="Culture Genesis")*(MONTH('💸 Pay Tracker'!$A$2:$A$80)=12)*(YEAR('💸 Pay Tracker'!$A$2:$A$80)=2025)*('💸 Pay Tracker'!$G$2:$G$80=""),'💸 Pay Tracker'!$E$2:$E$80)</f>
        <v/>
      </c>
      <c r="D6" s="135">
        <f>SUMPRODUCT(('💸 Pay Tracker'!$C$2:$C$80="Acast")*(MONTH('💸 Pay Tracker'!$A$2:$A$80)=12)*(YEAR('💸 Pay Tracker'!$A$2:$A$80)=2025),'💸 Pay Tracker'!$G$2:$G$80)+SUMPRODUCT(('💸 Pay Tracker'!$C$2:$C$80="Acast")*(MONTH('💸 Pay Tracker'!$A$2:$A$80)=12)*(YEAR('💸 Pay Tracker'!$A$2:$A$80)=2025)*('💸 Pay Tracker'!$G$2:$G$80=""),'💸 Pay Tracker'!$E$2:$E$80)</f>
        <v/>
      </c>
      <c r="E6" s="135" t="n"/>
      <c r="F6" s="135">
        <f>SUMPRODUCT(('💸 Pay Tracker'!$C$2:$C$80&lt;&gt;"YouTube")*('💸 Pay Tracker'!$C$2:$C$80&lt;&gt;"Culture Genesis")*('💸 Pay Tracker'!$C$2:$C$80&lt;&gt;"Acast")*('💸 Pay Tracker'!$C$2:$C$80&lt;&gt;"")*(MONTH('💸 Pay Tracker'!$A$2:$A$80)=12)*(YEAR('💸 Pay Tracker'!$A$2:$A$80)=2025),'💸 Pay Tracker'!$G$2:$G$80)</f>
        <v/>
      </c>
      <c r="G6" s="135">
        <f>SUM(B6:F6)</f>
        <v/>
      </c>
      <c r="H6" s="109" t="n"/>
    </row>
    <row r="7" ht="15.75" customHeight="1" s="136">
      <c r="A7" s="115" t="inlineStr">
        <is>
          <t>Q1 (Oct-Dec '25)</t>
        </is>
      </c>
      <c r="B7" s="116">
        <f>SUM(B4:B6)</f>
        <v/>
      </c>
      <c r="C7" s="116">
        <f>SUM(C4:C6)</f>
        <v/>
      </c>
      <c r="D7" s="116">
        <f>SUM(D4:D6)</f>
        <v/>
      </c>
      <c r="E7" s="116" t="n"/>
      <c r="F7" s="116">
        <f>SUM(F4:F6)</f>
        <v/>
      </c>
      <c r="G7" s="116">
        <f>SUM(G4:G6)</f>
        <v/>
      </c>
      <c r="H7" s="109" t="n"/>
    </row>
    <row r="8" ht="15.75" customHeight="1" s="136">
      <c r="A8" s="113" t="inlineStr">
        <is>
          <t>Jan 2026</t>
        </is>
      </c>
      <c r="B8" s="135">
        <f>SUMPRODUCT(('💸 Pay Tracker'!$C$2:$C$80="YouTube")*(MONTH('💸 Pay Tracker'!$A$2:$A$80)=1)*(YEAR('💸 Pay Tracker'!$A$2:$A$80)=2026),'💸 Pay Tracker'!$G$2:$G$80)+SUMPRODUCT(('💸 Pay Tracker'!$C$2:$C$80="YouTube")*(MONTH('💸 Pay Tracker'!$A$2:$A$80)=1)*(YEAR('💸 Pay Tracker'!$A$2:$A$80)=2026)*('💸 Pay Tracker'!$G$2:$G$80=""),'💸 Pay Tracker'!$E$2:$E$80)</f>
        <v/>
      </c>
      <c r="C8" s="135">
        <f>SUMPRODUCT(('💸 Pay Tracker'!$C$2:$C$80="Culture Genesis")*(MONTH('💸 Pay Tracker'!$A$2:$A$80)=1)*(YEAR('💸 Pay Tracker'!$A$2:$A$80)=2026),'💸 Pay Tracker'!$G$2:$G$80)+SUMPRODUCT(('💸 Pay Tracker'!$C$2:$C$80="Culture Genesis")*(MONTH('💸 Pay Tracker'!$A$2:$A$80)=1)*(YEAR('💸 Pay Tracker'!$A$2:$A$80)=2026)*('💸 Pay Tracker'!$G$2:$G$80=""),'💸 Pay Tracker'!$E$2:$E$80)</f>
        <v/>
      </c>
      <c r="D8" s="135">
        <f>SUMPRODUCT(('💸 Pay Tracker'!$C$2:$C$80="Acast")*(MONTH('💸 Pay Tracker'!$A$2:$A$80)=1)*(YEAR('💸 Pay Tracker'!$A$2:$A$80)=2026),'💸 Pay Tracker'!$G$2:$G$80)+SUMPRODUCT(('💸 Pay Tracker'!$C$2:$C$80="Acast")*(MONTH('💸 Pay Tracker'!$A$2:$A$80)=1)*(YEAR('💸 Pay Tracker'!$A$2:$A$80)=2026)*('💸 Pay Tracker'!$G$2:$G$80=""),'💸 Pay Tracker'!$E$2:$E$80)</f>
        <v/>
      </c>
      <c r="E8" s="135" t="n"/>
      <c r="F8" s="135">
        <f>SUMPRODUCT(('💸 Pay Tracker'!$C$2:$C$80&lt;&gt;"YouTube")*('💸 Pay Tracker'!$C$2:$C$80&lt;&gt;"Culture Genesis")*('💸 Pay Tracker'!$C$2:$C$80&lt;&gt;"Acast")*('💸 Pay Tracker'!$C$2:$C$80&lt;&gt;"")*(MONTH('💸 Pay Tracker'!$A$2:$A$80)=1)*(YEAR('💸 Pay Tracker'!$A$2:$A$80)=2026),'💸 Pay Tracker'!$G$2:$G$80)</f>
        <v/>
      </c>
      <c r="G8" s="135">
        <f>SUM(B8:F8)</f>
        <v/>
      </c>
      <c r="H8" s="109" t="n"/>
    </row>
    <row r="9" ht="15.75" customHeight="1" s="136">
      <c r="A9" s="113" t="inlineStr">
        <is>
          <t>Feb 2026</t>
        </is>
      </c>
      <c r="B9" s="135">
        <f>SUMPRODUCT(('💸 Pay Tracker'!$C$2:$C$80="YouTube")*(MONTH('💸 Pay Tracker'!$A$2:$A$80)=2)*(YEAR('💸 Pay Tracker'!$A$2:$A$80)=2026),'💸 Pay Tracker'!$G$2:$G$80)+SUMPRODUCT(('💸 Pay Tracker'!$C$2:$C$80="YouTube")*(MONTH('💸 Pay Tracker'!$A$2:$A$80)=2)*(YEAR('💸 Pay Tracker'!$A$2:$A$80)=2026)*('💸 Pay Tracker'!$G$2:$G$80=""),'💸 Pay Tracker'!$E$2:$E$80)</f>
        <v/>
      </c>
      <c r="C9" s="135">
        <f>SUMPRODUCT(('💸 Pay Tracker'!$C$2:$C$80="Culture Genesis")*(MONTH('💸 Pay Tracker'!$A$2:$A$80)=2)*(YEAR('💸 Pay Tracker'!$A$2:$A$80)=2026),'💸 Pay Tracker'!$G$2:$G$80)+SUMPRODUCT(('💸 Pay Tracker'!$C$2:$C$80="Culture Genesis")*(MONTH('💸 Pay Tracker'!$A$2:$A$80)=2)*(YEAR('💸 Pay Tracker'!$A$2:$A$80)=2026)*('💸 Pay Tracker'!$G$2:$G$80=""),'💸 Pay Tracker'!$E$2:$E$80)</f>
        <v/>
      </c>
      <c r="D9" s="135">
        <f>SUMPRODUCT(('💸 Pay Tracker'!$C$2:$C$80="Acast")*(MONTH('💸 Pay Tracker'!$A$2:$A$80)=2)*(YEAR('💸 Pay Tracker'!$A$2:$A$80)=2026),'💸 Pay Tracker'!$G$2:$G$80)+SUMPRODUCT(('💸 Pay Tracker'!$C$2:$C$80="Acast")*(MONTH('💸 Pay Tracker'!$A$2:$A$80)=2)*(YEAR('💸 Pay Tracker'!$A$2:$A$80)=2026)*('💸 Pay Tracker'!$G$2:$G$80=""),'💸 Pay Tracker'!$E$2:$E$80)</f>
        <v/>
      </c>
      <c r="E9" s="135" t="n"/>
      <c r="F9" s="135">
        <f>SUMPRODUCT(('💸 Pay Tracker'!$C$2:$C$80&lt;&gt;"YouTube")*('💸 Pay Tracker'!$C$2:$C$80&lt;&gt;"Culture Genesis")*('💸 Pay Tracker'!$C$2:$C$80&lt;&gt;"Acast")*('💸 Pay Tracker'!$C$2:$C$80&lt;&gt;"")*(MONTH('💸 Pay Tracker'!$A$2:$A$80)=2)*(YEAR('💸 Pay Tracker'!$A$2:$A$80)=2026),'💸 Pay Tracker'!$G$2:$G$80)</f>
        <v/>
      </c>
      <c r="G9" s="135">
        <f>SUM(B9:F9)</f>
        <v/>
      </c>
      <c r="H9" s="109" t="n"/>
    </row>
    <row r="10" ht="15.75" customHeight="1" s="136">
      <c r="A10" s="113" t="inlineStr">
        <is>
          <t>Mar 2026</t>
        </is>
      </c>
      <c r="B10" s="135">
        <f>SUMPRODUCT(('💸 Pay Tracker'!$C$2:$C$80="YouTube")*(MONTH('💸 Pay Tracker'!$A$2:$A$80)=3)*(YEAR('💸 Pay Tracker'!$A$2:$A$80)=2026),'💸 Pay Tracker'!$G$2:$G$80)+SUMPRODUCT(('💸 Pay Tracker'!$C$2:$C$80="YouTube")*(MONTH('💸 Pay Tracker'!$A$2:$A$80)=3)*(YEAR('💸 Pay Tracker'!$A$2:$A$80)=2026)*('💸 Pay Tracker'!$G$2:$G$80=""),'💸 Pay Tracker'!$E$2:$E$80)</f>
        <v/>
      </c>
      <c r="C10" s="135">
        <f>SUMPRODUCT(('💸 Pay Tracker'!$C$2:$C$80="Culture Genesis")*(MONTH('💸 Pay Tracker'!$A$2:$A$80)=3)*(YEAR('💸 Pay Tracker'!$A$2:$A$80)=2026),'💸 Pay Tracker'!$G$2:$G$80)+SUMPRODUCT(('💸 Pay Tracker'!$C$2:$C$80="Culture Genesis")*(MONTH('💸 Pay Tracker'!$A$2:$A$80)=3)*(YEAR('💸 Pay Tracker'!$A$2:$A$80)=2026)*('💸 Pay Tracker'!$G$2:$G$80=""),'💸 Pay Tracker'!$E$2:$E$80)</f>
        <v/>
      </c>
      <c r="D10" s="135">
        <f>SUMPRODUCT(('💸 Pay Tracker'!$C$2:$C$80="Acast")*(MONTH('💸 Pay Tracker'!$A$2:$A$80)=3)*(YEAR('💸 Pay Tracker'!$A$2:$A$80)=2026),'💸 Pay Tracker'!$G$2:$G$80)+SUMPRODUCT(('💸 Pay Tracker'!$C$2:$C$80="Acast")*(MONTH('💸 Pay Tracker'!$A$2:$A$80)=3)*(YEAR('💸 Pay Tracker'!$A$2:$A$80)=2026)*('💸 Pay Tracker'!$G$2:$G$80=""),'💸 Pay Tracker'!$E$2:$E$80)</f>
        <v/>
      </c>
      <c r="E10" s="135" t="n"/>
      <c r="F10" s="135">
        <f>SUMPRODUCT(('💸 Pay Tracker'!$C$2:$C$80&lt;&gt;"YouTube")*('💸 Pay Tracker'!$C$2:$C$80&lt;&gt;"Culture Genesis")*('💸 Pay Tracker'!$C$2:$C$80&lt;&gt;"Acast")*('💸 Pay Tracker'!$C$2:$C$80&lt;&gt;"")*(MONTH('💸 Pay Tracker'!$A$2:$A$80)=3)*(YEAR('💸 Pay Tracker'!$A$2:$A$80)=2026),'💸 Pay Tracker'!$G$2:$G$80)</f>
        <v/>
      </c>
      <c r="G10" s="135">
        <f>SUM(B10:F10)</f>
        <v/>
      </c>
      <c r="H10" s="109" t="n"/>
    </row>
    <row r="11" ht="15.75" customHeight="1" s="136">
      <c r="A11" s="115" t="inlineStr">
        <is>
          <t>Q2 (Jan-Mar '26)</t>
        </is>
      </c>
      <c r="B11" s="116">
        <f>SUM(B8:B10)</f>
        <v/>
      </c>
      <c r="C11" s="116">
        <f>SUM(C8:C10)</f>
        <v/>
      </c>
      <c r="D11" s="116">
        <f>SUM(D8:D10)</f>
        <v/>
      </c>
      <c r="E11" s="116" t="n"/>
      <c r="F11" s="116">
        <f>SUM(F8:F10)</f>
        <v/>
      </c>
      <c r="G11" s="116">
        <f>SUM(G8:G10)</f>
        <v/>
      </c>
      <c r="H11" s="109" t="n"/>
    </row>
    <row r="12" ht="15.75" customHeight="1" s="136">
      <c r="A12" s="113" t="inlineStr">
        <is>
          <t>Apr 2026</t>
        </is>
      </c>
      <c r="B12" s="135">
        <f>SUMPRODUCT(('💸 Pay Tracker'!$C$2:$C$80="YouTube")*(MONTH('💸 Pay Tracker'!$A$2:$A$80)=4)*(YEAR('💸 Pay Tracker'!$A$2:$A$80)=2026),'💸 Pay Tracker'!$G$2:$G$80)+SUMPRODUCT(('💸 Pay Tracker'!$C$2:$C$80="YouTube")*(MONTH('💸 Pay Tracker'!$A$2:$A$80)=4)*(YEAR('💸 Pay Tracker'!$A$2:$A$80)=2026)*('💸 Pay Tracker'!$G$2:$G$80=""),'💸 Pay Tracker'!$E$2:$E$80)</f>
        <v/>
      </c>
      <c r="C12" s="135">
        <f>SUMPRODUCT(('💸 Pay Tracker'!$C$2:$C$80="Culture Genesis")*(MONTH('💸 Pay Tracker'!$A$2:$A$80)=4)*(YEAR('💸 Pay Tracker'!$A$2:$A$80)=2026),'💸 Pay Tracker'!$G$2:$G$80)+SUMPRODUCT(('💸 Pay Tracker'!$C$2:$C$80="Culture Genesis")*(MONTH('💸 Pay Tracker'!$A$2:$A$80)=4)*(YEAR('💸 Pay Tracker'!$A$2:$A$80)=2026)*('💸 Pay Tracker'!$G$2:$G$80=""),'💸 Pay Tracker'!$E$2:$E$80)</f>
        <v/>
      </c>
      <c r="D12" s="135">
        <f>SUMPRODUCT(('💸 Pay Tracker'!$C$2:$C$80="Acast")*(MONTH('💸 Pay Tracker'!$A$2:$A$80)=4)*(YEAR('💸 Pay Tracker'!$A$2:$A$80)=2026),'💸 Pay Tracker'!$G$2:$G$80)+SUMPRODUCT(('💸 Pay Tracker'!$C$2:$C$80="Acast")*(MONTH('💸 Pay Tracker'!$A$2:$A$80)=4)*(YEAR('💸 Pay Tracker'!$A$2:$A$80)=2026)*('💸 Pay Tracker'!$G$2:$G$80=""),'💸 Pay Tracker'!$E$2:$E$80)</f>
        <v/>
      </c>
      <c r="E12" s="135" t="n"/>
      <c r="F12" s="135">
        <f>SUMPRODUCT(('💸 Pay Tracker'!$C$2:$C$80&lt;&gt;"YouTube")*('💸 Pay Tracker'!$C$2:$C$80&lt;&gt;"Culture Genesis")*('💸 Pay Tracker'!$C$2:$C$80&lt;&gt;"Acast")*('💸 Pay Tracker'!$C$2:$C$80&lt;&gt;"")*(MONTH('💸 Pay Tracker'!$A$2:$A$80)=4)*(YEAR('💸 Pay Tracker'!$A$2:$A$80)=2026),'💸 Pay Tracker'!$G$2:$G$80)</f>
        <v/>
      </c>
      <c r="G12" s="135">
        <f>SUM(B12:F12)</f>
        <v/>
      </c>
      <c r="H12" s="109" t="n"/>
    </row>
    <row r="13" ht="15.75" customHeight="1" s="136">
      <c r="A13" s="113" t="inlineStr">
        <is>
          <t>May 2026</t>
        </is>
      </c>
      <c r="B13" s="135">
        <f>SUMPRODUCT(('💸 Pay Tracker'!$C$2:$C$80="YouTube")*(MONTH('💸 Pay Tracker'!$A$2:$A$80)=5)*(YEAR('💸 Pay Tracker'!$A$2:$A$80)=2026),'💸 Pay Tracker'!$G$2:$G$80)+SUMPRODUCT(('💸 Pay Tracker'!$C$2:$C$80="YouTube")*(MONTH('💸 Pay Tracker'!$A$2:$A$80)=5)*(YEAR('💸 Pay Tracker'!$A$2:$A$80)=2026)*('💸 Pay Tracker'!$G$2:$G$80=""),'💸 Pay Tracker'!$E$2:$E$80)</f>
        <v/>
      </c>
      <c r="C13" s="135">
        <f>SUMPRODUCT(('💸 Pay Tracker'!$C$2:$C$80="Culture Genesis")*(MONTH('💸 Pay Tracker'!$A$2:$A$80)=5)*(YEAR('💸 Pay Tracker'!$A$2:$A$80)=2026),'💸 Pay Tracker'!$G$2:$G$80)+SUMPRODUCT(('💸 Pay Tracker'!$C$2:$C$80="Culture Genesis")*(MONTH('💸 Pay Tracker'!$A$2:$A$80)=5)*(YEAR('💸 Pay Tracker'!$A$2:$A$80)=2026)*('💸 Pay Tracker'!$G$2:$G$80=""),'💸 Pay Tracker'!$E$2:$E$80)</f>
        <v/>
      </c>
      <c r="D13" s="135">
        <f>SUMPRODUCT(('💸 Pay Tracker'!$C$2:$C$80="Acast")*(MONTH('💸 Pay Tracker'!$A$2:$A$80)=5)*(YEAR('💸 Pay Tracker'!$A$2:$A$80)=2026),'💸 Pay Tracker'!$G$2:$G$80)+SUMPRODUCT(('💸 Pay Tracker'!$C$2:$C$80="Acast")*(MONTH('💸 Pay Tracker'!$A$2:$A$80)=5)*(YEAR('💸 Pay Tracker'!$A$2:$A$80)=2026)*('💸 Pay Tracker'!$G$2:$G$80=""),'💸 Pay Tracker'!$E$2:$E$80)</f>
        <v/>
      </c>
      <c r="E13" s="135" t="n"/>
      <c r="F13" s="135">
        <f>SUMPRODUCT(('💸 Pay Tracker'!$C$2:$C$80&lt;&gt;"YouTube")*('💸 Pay Tracker'!$C$2:$C$80&lt;&gt;"Culture Genesis")*('💸 Pay Tracker'!$C$2:$C$80&lt;&gt;"Acast")*('💸 Pay Tracker'!$C$2:$C$80&lt;&gt;"")*(MONTH('💸 Pay Tracker'!$A$2:$A$80)=5)*(YEAR('💸 Pay Tracker'!$A$2:$A$80)=2026),'💸 Pay Tracker'!$G$2:$G$80)</f>
        <v/>
      </c>
      <c r="G13" s="135">
        <f>SUM(B13:F13)</f>
        <v/>
      </c>
      <c r="H13" s="109" t="n"/>
    </row>
    <row r="14" ht="15.75" customHeight="1" s="136">
      <c r="A14" s="113" t="inlineStr">
        <is>
          <t>Jun 2026</t>
        </is>
      </c>
      <c r="B14" s="135">
        <f>SUMPRODUCT(('💸 Pay Tracker'!$C$2:$C$80="YouTube")*(MONTH('💸 Pay Tracker'!$A$2:$A$80)=6)*(YEAR('💸 Pay Tracker'!$A$2:$A$80)=2026),'💸 Pay Tracker'!$G$2:$G$80)+SUMPRODUCT(('💸 Pay Tracker'!$C$2:$C$80="YouTube")*(MONTH('💸 Pay Tracker'!$A$2:$A$80)=6)*(YEAR('💸 Pay Tracker'!$A$2:$A$80)=2026)*('💸 Pay Tracker'!$G$2:$G$80=""),'💸 Pay Tracker'!$E$2:$E$80)</f>
        <v/>
      </c>
      <c r="C14" s="135">
        <f>SUMPRODUCT(('💸 Pay Tracker'!$C$2:$C$80="Culture Genesis")*(MONTH('💸 Pay Tracker'!$A$2:$A$80)=6)*(YEAR('💸 Pay Tracker'!$A$2:$A$80)=2026),'💸 Pay Tracker'!$G$2:$G$80)+SUMPRODUCT(('💸 Pay Tracker'!$C$2:$C$80="Culture Genesis")*(MONTH('💸 Pay Tracker'!$A$2:$A$80)=6)*(YEAR('💸 Pay Tracker'!$A$2:$A$80)=2026)*('💸 Pay Tracker'!$G$2:$G$80=""),'💸 Pay Tracker'!$E$2:$E$80)</f>
        <v/>
      </c>
      <c r="D14" s="135">
        <f>SUMPRODUCT(('💸 Pay Tracker'!$C$2:$C$80="Acast")*(MONTH('💸 Pay Tracker'!$A$2:$A$80)=6)*(YEAR('💸 Pay Tracker'!$A$2:$A$80)=2026),'💸 Pay Tracker'!$G$2:$G$80)+SUMPRODUCT(('💸 Pay Tracker'!$C$2:$C$80="Acast")*(MONTH('💸 Pay Tracker'!$A$2:$A$80)=6)*(YEAR('💸 Pay Tracker'!$A$2:$A$80)=2026)*('💸 Pay Tracker'!$G$2:$G$80=""),'💸 Pay Tracker'!$E$2:$E$80)</f>
        <v/>
      </c>
      <c r="E14" s="135" t="n"/>
      <c r="F14" s="135">
        <f>SUMPRODUCT(('💸 Pay Tracker'!$C$2:$C$80&lt;&gt;"YouTube")*('💸 Pay Tracker'!$C$2:$C$80&lt;&gt;"Culture Genesis")*('💸 Pay Tracker'!$C$2:$C$80&lt;&gt;"Acast")*('💸 Pay Tracker'!$C$2:$C$80&lt;&gt;"")*(MONTH('💸 Pay Tracker'!$A$2:$A$80)=6)*(YEAR('💸 Pay Tracker'!$A$2:$A$80)=2026),'💸 Pay Tracker'!$G$2:$G$80)</f>
        <v/>
      </c>
      <c r="G14" s="135">
        <f>SUM(B14:F14)</f>
        <v/>
      </c>
      <c r="H14" s="109" t="n"/>
    </row>
    <row r="15" ht="15.75" customHeight="1" s="136">
      <c r="A15" s="115" t="inlineStr">
        <is>
          <t>Q3 (Apr-Jun '26)</t>
        </is>
      </c>
      <c r="B15" s="116">
        <f>SUM(B12:B14)</f>
        <v/>
      </c>
      <c r="C15" s="116">
        <f>SUM(C12:C14)</f>
        <v/>
      </c>
      <c r="D15" s="116">
        <f>SUM(D12:D14)</f>
        <v/>
      </c>
      <c r="E15" s="116" t="n"/>
      <c r="F15" s="116">
        <f>SUM(F12:F14)</f>
        <v/>
      </c>
      <c r="G15" s="116">
        <f>SUM(G12:G14)</f>
        <v/>
      </c>
      <c r="H15" s="109" t="n"/>
    </row>
    <row r="16" ht="15.75" customHeight="1" s="136">
      <c r="A16" s="113" t="inlineStr">
        <is>
          <t>Jul 2026</t>
        </is>
      </c>
      <c r="B16" s="135">
        <f>SUMPRODUCT(('💸 Pay Tracker'!$C$2:$C$80="YouTube")*(MONTH('💸 Pay Tracker'!$A$2:$A$80)=7)*(YEAR('💸 Pay Tracker'!$A$2:$A$80)=2026),'💸 Pay Tracker'!$G$2:$G$80)+SUMPRODUCT(('💸 Pay Tracker'!$C$2:$C$80="YouTube")*(MONTH('💸 Pay Tracker'!$A$2:$A$80)=7)*(YEAR('💸 Pay Tracker'!$A$2:$A$80)=2026)*('💸 Pay Tracker'!$G$2:$G$80=""),'💸 Pay Tracker'!$E$2:$E$80)</f>
        <v/>
      </c>
      <c r="C16" s="135">
        <f>SUMPRODUCT(('💸 Pay Tracker'!$C$2:$C$80="Culture Genesis")*(MONTH('💸 Pay Tracker'!$A$2:$A$80)=7)*(YEAR('💸 Pay Tracker'!$A$2:$A$80)=2026),'💸 Pay Tracker'!$G$2:$G$80)+SUMPRODUCT(('💸 Pay Tracker'!$C$2:$C$80="Culture Genesis")*(MONTH('💸 Pay Tracker'!$A$2:$A$80)=7)*(YEAR('💸 Pay Tracker'!$A$2:$A$80)=2026)*('💸 Pay Tracker'!$G$2:$G$80=""),'💸 Pay Tracker'!$E$2:$E$80)</f>
        <v/>
      </c>
      <c r="D16" s="135">
        <f>SUMPRODUCT(('💸 Pay Tracker'!$C$2:$C$80="Acast")*(MONTH('💸 Pay Tracker'!$A$2:$A$80)=7)*(YEAR('💸 Pay Tracker'!$A$2:$A$80)=2026),'💸 Pay Tracker'!$G$2:$G$80)+SUMPRODUCT(('💸 Pay Tracker'!$C$2:$C$80="Acast")*(MONTH('💸 Pay Tracker'!$A$2:$A$80)=7)*(YEAR('💸 Pay Tracker'!$A$2:$A$80)=2026)*('💸 Pay Tracker'!$G$2:$G$80=""),'💸 Pay Tracker'!$E$2:$E$80)</f>
        <v/>
      </c>
      <c r="E16" s="135" t="n"/>
      <c r="F16" s="135">
        <f>SUMPRODUCT(('💸 Pay Tracker'!$C$2:$C$80&lt;&gt;"YouTube")*('💸 Pay Tracker'!$C$2:$C$80&lt;&gt;"Culture Genesis")*('💸 Pay Tracker'!$C$2:$C$80&lt;&gt;"Acast")*('💸 Pay Tracker'!$C$2:$C$80&lt;&gt;"")*(MONTH('💸 Pay Tracker'!$A$2:$A$80)=7)*(YEAR('💸 Pay Tracker'!$A$2:$A$80)=2026),'💸 Pay Tracker'!$G$2:$G$80)</f>
        <v/>
      </c>
      <c r="G16" s="135">
        <f>SUM(B16:F16)</f>
        <v/>
      </c>
      <c r="H16" s="109" t="n"/>
    </row>
    <row r="17" ht="15.75" customHeight="1" s="136">
      <c r="A17" s="113" t="inlineStr">
        <is>
          <t>Aug 2026</t>
        </is>
      </c>
      <c r="B17" s="135">
        <f>SUMPRODUCT(('💸 Pay Tracker'!$C$2:$C$80="YouTube")*(MONTH('💸 Pay Tracker'!$A$2:$A$80)=8)*(YEAR('💸 Pay Tracker'!$A$2:$A$80)=2026),'💸 Pay Tracker'!$G$2:$G$80)+SUMPRODUCT(('💸 Pay Tracker'!$C$2:$C$80="YouTube")*(MONTH('💸 Pay Tracker'!$A$2:$A$80)=8)*(YEAR('💸 Pay Tracker'!$A$2:$A$80)=2026)*('💸 Pay Tracker'!$G$2:$G$80=""),'💸 Pay Tracker'!$E$2:$E$80)</f>
        <v/>
      </c>
      <c r="C17" s="135">
        <f>SUMPRODUCT(('💸 Pay Tracker'!$C$2:$C$80="Culture Genesis")*(MONTH('💸 Pay Tracker'!$A$2:$A$80)=8)*(YEAR('💸 Pay Tracker'!$A$2:$A$80)=2026),'💸 Pay Tracker'!$G$2:$G$80)+SUMPRODUCT(('💸 Pay Tracker'!$C$2:$C$80="Culture Genesis")*(MONTH('💸 Pay Tracker'!$A$2:$A$80)=8)*(YEAR('💸 Pay Tracker'!$A$2:$A$80)=2026)*('💸 Pay Tracker'!$G$2:$G$80=""),'💸 Pay Tracker'!$E$2:$E$80)</f>
        <v/>
      </c>
      <c r="D17" s="135">
        <f>SUMPRODUCT(('💸 Pay Tracker'!$C$2:$C$80="Acast")*(MONTH('💸 Pay Tracker'!$A$2:$A$80)=8)*(YEAR('💸 Pay Tracker'!$A$2:$A$80)=2026),'💸 Pay Tracker'!$G$2:$G$80)+SUMPRODUCT(('💸 Pay Tracker'!$C$2:$C$80="Acast")*(MONTH('💸 Pay Tracker'!$A$2:$A$80)=8)*(YEAR('💸 Pay Tracker'!$A$2:$A$80)=2026)*('💸 Pay Tracker'!$G$2:$G$80=""),'💸 Pay Tracker'!$E$2:$E$80)</f>
        <v/>
      </c>
      <c r="E17" s="135" t="n"/>
      <c r="F17" s="135">
        <f>SUMPRODUCT(('💸 Pay Tracker'!$C$2:$C$80&lt;&gt;"YouTube")*('💸 Pay Tracker'!$C$2:$C$80&lt;&gt;"Culture Genesis")*('💸 Pay Tracker'!$C$2:$C$80&lt;&gt;"Acast")*('💸 Pay Tracker'!$C$2:$C$80&lt;&gt;"")*(MONTH('💸 Pay Tracker'!$A$2:$A$80)=8)*(YEAR('💸 Pay Tracker'!$A$2:$A$80)=2026),'💸 Pay Tracker'!$G$2:$G$80)</f>
        <v/>
      </c>
      <c r="G17" s="135">
        <f>SUM(B17:F17)</f>
        <v/>
      </c>
      <c r="H17" s="109" t="n"/>
    </row>
    <row r="18" ht="15.75" customHeight="1" s="136">
      <c r="A18" s="113" t="inlineStr">
        <is>
          <t>Sep 2026</t>
        </is>
      </c>
      <c r="B18" s="135">
        <f>SUMPRODUCT(('💸 Pay Tracker'!$C$2:$C$80="YouTube")*(MONTH('💸 Pay Tracker'!$A$2:$A$80)=9)*(YEAR('💸 Pay Tracker'!$A$2:$A$80)=2026),'💸 Pay Tracker'!$G$2:$G$80)+SUMPRODUCT(('💸 Pay Tracker'!$C$2:$C$80="YouTube")*(MONTH('💸 Pay Tracker'!$A$2:$A$80)=9)*(YEAR('💸 Pay Tracker'!$A$2:$A$80)=2026)*('💸 Pay Tracker'!$G$2:$G$80=""),'💸 Pay Tracker'!$E$2:$E$80)</f>
        <v/>
      </c>
      <c r="C18" s="135">
        <f>SUMPRODUCT(('💸 Pay Tracker'!$C$2:$C$80="Culture Genesis")*(MONTH('💸 Pay Tracker'!$A$2:$A$80)=9)*(YEAR('💸 Pay Tracker'!$A$2:$A$80)=2026),'💸 Pay Tracker'!$G$2:$G$80)+SUMPRODUCT(('💸 Pay Tracker'!$C$2:$C$80="Culture Genesis")*(MONTH('💸 Pay Tracker'!$A$2:$A$80)=9)*(YEAR('💸 Pay Tracker'!$A$2:$A$80)=2026)*('💸 Pay Tracker'!$G$2:$G$80=""),'💸 Pay Tracker'!$E$2:$E$80)</f>
        <v/>
      </c>
      <c r="D18" s="135">
        <f>SUMPRODUCT(('💸 Pay Tracker'!$C$2:$C$80="Acast")*(MONTH('💸 Pay Tracker'!$A$2:$A$80)=9)*(YEAR('💸 Pay Tracker'!$A$2:$A$80)=2026),'💸 Pay Tracker'!$G$2:$G$80)+SUMPRODUCT(('💸 Pay Tracker'!$C$2:$C$80="Acast")*(MONTH('💸 Pay Tracker'!$A$2:$A$80)=9)*(YEAR('💸 Pay Tracker'!$A$2:$A$80)=2026)*('💸 Pay Tracker'!$G$2:$G$80=""),'💸 Pay Tracker'!$E$2:$E$80)</f>
        <v/>
      </c>
      <c r="E18" s="135" t="n"/>
      <c r="F18" s="135">
        <f>SUMPRODUCT(('💸 Pay Tracker'!$C$2:$C$80&lt;&gt;"YouTube")*('💸 Pay Tracker'!$C$2:$C$80&lt;&gt;"Culture Genesis")*('💸 Pay Tracker'!$C$2:$C$80&lt;&gt;"Acast")*('💸 Pay Tracker'!$C$2:$C$80&lt;&gt;"")*(MONTH('💸 Pay Tracker'!$A$2:$A$80)=9)*(YEAR('💸 Pay Tracker'!$A$2:$A$80)=2026),'💸 Pay Tracker'!$G$2:$G$80)</f>
        <v/>
      </c>
      <c r="G18" s="135">
        <f>SUM(B18:F18)</f>
        <v/>
      </c>
      <c r="H18" s="109" t="n"/>
    </row>
    <row r="19" ht="15.75" customHeight="1" s="136">
      <c r="A19" s="115" t="inlineStr">
        <is>
          <t>Q4 (Jul-Sep '26)</t>
        </is>
      </c>
      <c r="B19" s="116">
        <f>SUM(B16:B18)</f>
        <v/>
      </c>
      <c r="C19" s="116">
        <f>SUM(C16:C18)</f>
        <v/>
      </c>
      <c r="D19" s="116">
        <f>SUM(D16:D18)</f>
        <v/>
      </c>
      <c r="E19" s="116" t="n"/>
      <c r="F19" s="116">
        <f>SUM(F16:F18)</f>
        <v/>
      </c>
      <c r="G19" s="116">
        <f>SUM(G16:G18)</f>
        <v/>
      </c>
      <c r="H19" s="109" t="n"/>
    </row>
    <row r="20" ht="15.75" customHeight="1" s="136">
      <c r="A20" s="117" t="inlineStr">
        <is>
          <t>SEASON TOTAL</t>
        </is>
      </c>
      <c r="B20" s="118">
        <f>B7+B11+B15+B19</f>
        <v/>
      </c>
      <c r="C20" s="118">
        <f>C7+C11+C15+C19</f>
        <v/>
      </c>
      <c r="D20" s="118">
        <f>D7+D11+D15+D19</f>
        <v/>
      </c>
      <c r="E20" s="118" t="n"/>
      <c r="F20" s="118">
        <f>F7+F11+F15+F19</f>
        <v/>
      </c>
      <c r="G20" s="118">
        <f>G7+G11+G15+G19</f>
        <v/>
      </c>
      <c r="H20" s="109" t="n"/>
    </row>
    <row r="21" ht="15.75" customHeight="1" s="136">
      <c r="A21" s="109" t="n"/>
      <c r="B21" s="109" t="n"/>
      <c r="C21" s="109" t="n"/>
      <c r="D21" s="109" t="n"/>
      <c r="E21" s="109" t="n"/>
      <c r="F21" s="109" t="n"/>
      <c r="G21" s="109" t="n"/>
      <c r="H21" s="109" t="n"/>
    </row>
    <row r="22" ht="15.75" customHeight="1" s="136">
      <c r="A22" s="119" t="inlineStr">
        <is>
          <t>REVENUE MIX (FY)</t>
        </is>
      </c>
      <c r="B22" s="109" t="n"/>
      <c r="C22" s="109" t="n"/>
      <c r="D22" s="109" t="n"/>
      <c r="E22" s="109" t="n"/>
      <c r="F22" s="109" t="n"/>
      <c r="G22" s="109" t="n"/>
      <c r="H22" s="109" t="n"/>
    </row>
    <row r="23" ht="15.75" customHeight="1" s="136">
      <c r="A23" s="121" t="inlineStr">
        <is>
          <t>Source</t>
        </is>
      </c>
      <c r="B23" s="121" t="inlineStr">
        <is>
          <t>Amount</t>
        </is>
      </c>
      <c r="C23" s="121" t="inlineStr">
        <is>
          <t>% of Revenue</t>
        </is>
      </c>
      <c r="D23" s="109" t="n"/>
      <c r="E23" s="109" t="n"/>
      <c r="F23" s="109" t="n"/>
      <c r="G23" s="109" t="n"/>
      <c r="H23" s="109" t="n"/>
    </row>
    <row r="24" ht="15.75" customHeight="1" s="136">
      <c r="A24" s="124" t="inlineStr">
        <is>
          <t>YouTube</t>
        </is>
      </c>
      <c r="B24" s="135">
        <f>B20</f>
        <v/>
      </c>
      <c r="C24" s="123">
        <f>IF(G20&gt;0,B24/G20,0)</f>
        <v/>
      </c>
      <c r="D24" s="109" t="n"/>
      <c r="E24" s="109" t="n"/>
      <c r="F24" s="109" t="n"/>
      <c r="G24" s="109" t="n"/>
      <c r="H24" s="109" t="n"/>
    </row>
    <row r="25" ht="15.75" customHeight="1" s="136">
      <c r="A25" s="124" t="inlineStr">
        <is>
          <t>Culture Genesis</t>
        </is>
      </c>
      <c r="B25" s="135">
        <f>C20</f>
        <v/>
      </c>
      <c r="C25" s="123">
        <f>IF(G20&gt;0,B25/G20,0)</f>
        <v/>
      </c>
      <c r="D25" s="109" t="n"/>
      <c r="E25" s="109" t="n"/>
      <c r="F25" s="109" t="n"/>
      <c r="G25" s="109" t="n"/>
      <c r="H25" s="109" t="n"/>
    </row>
    <row r="26" ht="15.75" customHeight="1" s="136">
      <c r="A26" s="124" t="inlineStr">
        <is>
          <t>Acast</t>
        </is>
      </c>
      <c r="B26" s="135">
        <f>D20</f>
        <v/>
      </c>
      <c r="C26" s="123">
        <f>IF(G20&gt;0,B26/G20,0)</f>
        <v/>
      </c>
      <c r="D26" s="109" t="n"/>
      <c r="E26" s="109" t="n"/>
      <c r="F26" s="109" t="n"/>
      <c r="G26" s="109" t="n"/>
      <c r="H26" s="109" t="n"/>
    </row>
    <row r="27" ht="15.75" customHeight="1" s="136">
      <c r="A27" s="124" t="inlineStr">
        <is>
          <t>Other</t>
        </is>
      </c>
      <c r="B27" s="135">
        <f>F20</f>
        <v/>
      </c>
      <c r="C27" s="123">
        <f>IF(G20&gt;0,B27/G20,0)</f>
        <v/>
      </c>
      <c r="D27" s="109" t="n"/>
      <c r="E27" s="109" t="n"/>
      <c r="F27" s="109" t="n"/>
      <c r="G27" s="109" t="n"/>
      <c r="H27" s="109" t="n"/>
    </row>
    <row r="28" ht="15.75" customHeight="1" s="136"/>
    <row r="29" ht="15.75" customHeight="1" s="136"/>
    <row r="30" ht="15.75" customHeight="1" s="136"/>
    <row r="31" ht="15.75" customHeight="1" s="136"/>
    <row r="32" ht="15.75" customHeight="1" s="136"/>
    <row r="33" ht="15.75" customHeight="1" s="136"/>
    <row r="34" ht="15.75" customHeight="1" s="136"/>
    <row r="35" ht="15.75" customHeight="1" s="136"/>
    <row r="36" ht="15.75" customHeight="1" s="136"/>
    <row r="37" ht="15.75" customHeight="1" s="136"/>
    <row r="38" ht="15.75" customHeight="1" s="136"/>
    <row r="39" ht="15.75" customHeight="1" s="136"/>
    <row r="40" ht="15.75" customHeight="1" s="136"/>
    <row r="41" ht="15.75" customHeight="1" s="136"/>
    <row r="42" ht="15.75" customHeight="1" s="136"/>
    <row r="43" ht="15.75" customHeight="1" s="136"/>
    <row r="44" ht="15.75" customHeight="1" s="136"/>
    <row r="45" ht="15.75" customHeight="1" s="136"/>
    <row r="46" ht="15.75" customHeight="1" s="136"/>
    <row r="47" ht="15.75" customHeight="1" s="136"/>
    <row r="48" ht="15.75" customHeight="1" s="136"/>
    <row r="49" ht="15.75" customHeight="1" s="136"/>
    <row r="50" ht="15.75" customHeight="1" s="136"/>
    <row r="51" ht="15.75" customHeight="1" s="136"/>
    <row r="52" ht="15.75" customHeight="1" s="136"/>
    <row r="53" ht="15.75" customHeight="1" s="136"/>
    <row r="54" ht="15.75" customHeight="1" s="136"/>
    <row r="55" ht="15.75" customHeight="1" s="136"/>
    <row r="56" ht="15.75" customHeight="1" s="136"/>
    <row r="57" ht="15.75" customHeight="1" s="136"/>
    <row r="58" ht="15.75" customHeight="1" s="136"/>
    <row r="59" ht="15.75" customHeight="1" s="136"/>
    <row r="60" ht="15.75" customHeight="1" s="136"/>
    <row r="61" ht="15.75" customHeight="1" s="136"/>
    <row r="62" ht="15.75" customHeight="1" s="136"/>
    <row r="63" ht="15.75" customHeight="1" s="136"/>
    <row r="64" ht="15.75" customHeight="1" s="136"/>
    <row r="65" ht="15.75" customHeight="1" s="136"/>
    <row r="66" ht="15.75" customHeight="1" s="136"/>
    <row r="67" ht="15.75" customHeight="1" s="136"/>
    <row r="68" ht="15.75" customHeight="1" s="136"/>
    <row r="69" ht="15.75" customHeight="1" s="136"/>
    <row r="70" ht="15.75" customHeight="1" s="136"/>
    <row r="71" ht="15.75" customHeight="1" s="136"/>
    <row r="72" ht="15.75" customHeight="1" s="136"/>
    <row r="73" ht="15.75" customHeight="1" s="136"/>
    <row r="74" ht="15.75" customHeight="1" s="136"/>
    <row r="75" ht="15.75" customHeight="1" s="136"/>
    <row r="76" ht="15.75" customHeight="1" s="136"/>
    <row r="77" ht="15.75" customHeight="1" s="136"/>
    <row r="78" ht="15.75" customHeight="1" s="136"/>
    <row r="79" ht="15.75" customHeight="1" s="136"/>
    <row r="80" ht="15.75" customHeight="1" s="136"/>
    <row r="81" ht="15.75" customHeight="1" s="136"/>
    <row r="82" ht="15.75" customHeight="1" s="136"/>
    <row r="83" ht="15.75" customHeight="1" s="136"/>
    <row r="84" ht="15.75" customHeight="1" s="136"/>
    <row r="85" ht="15.75" customHeight="1" s="136"/>
    <row r="86" ht="15.75" customHeight="1" s="136"/>
    <row r="87" ht="15.75" customHeight="1" s="136"/>
    <row r="88" ht="15.75" customHeight="1" s="136"/>
    <row r="89" ht="15.75" customHeight="1" s="136"/>
    <row r="90" ht="15.75" customHeight="1" s="136"/>
    <row r="91" ht="15.75" customHeight="1" s="136"/>
    <row r="92" ht="15.75" customHeight="1" s="136"/>
    <row r="93" ht="15.75" customHeight="1" s="136"/>
    <row r="94" ht="15.75" customHeight="1" s="136"/>
    <row r="95" ht="15.75" customHeight="1" s="136"/>
    <row r="96" ht="15.75" customHeight="1" s="136"/>
    <row r="97" ht="15.75" customHeight="1" s="136"/>
    <row r="98" ht="15.75" customHeight="1" s="136"/>
    <row r="99" ht="15.75" customHeight="1" s="136"/>
    <row r="100" ht="15.75" customHeight="1" s="136"/>
    <row r="101" ht="15.75" customHeight="1" s="136"/>
    <row r="102" ht="15.75" customHeight="1" s="136"/>
    <row r="103" ht="15.75" customHeight="1" s="136"/>
    <row r="104" ht="15.75" customHeight="1" s="136"/>
    <row r="105" ht="15.75" customHeight="1" s="136"/>
    <row r="106" ht="15.75" customHeight="1" s="136"/>
    <row r="107" ht="15.75" customHeight="1" s="136"/>
    <row r="108" ht="15.75" customHeight="1" s="136"/>
    <row r="109" ht="15.75" customHeight="1" s="136"/>
    <row r="110" ht="15.75" customHeight="1" s="136"/>
    <row r="111" ht="15.75" customHeight="1" s="136"/>
    <row r="112" ht="15.75" customHeight="1" s="136"/>
    <row r="113" ht="15.75" customHeight="1" s="136"/>
    <row r="114" ht="15.75" customHeight="1" s="136"/>
    <row r="115" ht="15.75" customHeight="1" s="136"/>
    <row r="116" ht="15.75" customHeight="1" s="136"/>
    <row r="117" ht="15.75" customHeight="1" s="136"/>
    <row r="118" ht="15.75" customHeight="1" s="136"/>
    <row r="119" ht="15.75" customHeight="1" s="136"/>
    <row r="120" ht="15.75" customHeight="1" s="136"/>
    <row r="121" ht="15.75" customHeight="1" s="136"/>
    <row r="122" ht="15.75" customHeight="1" s="136"/>
    <row r="123" ht="15.75" customHeight="1" s="136"/>
    <row r="124" ht="15.75" customHeight="1" s="136"/>
    <row r="125" ht="15.75" customHeight="1" s="136"/>
    <row r="126" ht="15.75" customHeight="1" s="136"/>
    <row r="127" ht="15.75" customHeight="1" s="136"/>
    <row r="128" ht="15.75" customHeight="1" s="136"/>
    <row r="129" ht="15.75" customHeight="1" s="136"/>
    <row r="130" ht="15.75" customHeight="1" s="136"/>
    <row r="131" ht="15.75" customHeight="1" s="136"/>
    <row r="132" ht="15.75" customHeight="1" s="136"/>
    <row r="133" ht="15.75" customHeight="1" s="136"/>
    <row r="134" ht="15.75" customHeight="1" s="136"/>
    <row r="135" ht="15.75" customHeight="1" s="136"/>
    <row r="136" ht="15.75" customHeight="1" s="136"/>
    <row r="137" ht="15.75" customHeight="1" s="136"/>
    <row r="138" ht="15.75" customHeight="1" s="136"/>
    <row r="139" ht="15.75" customHeight="1" s="136"/>
    <row r="140" ht="15.75" customHeight="1" s="136"/>
    <row r="141" ht="15.75" customHeight="1" s="136"/>
    <row r="142" ht="15.75" customHeight="1" s="136"/>
    <row r="143" ht="15.75" customHeight="1" s="136"/>
    <row r="144" ht="15.75" customHeight="1" s="136"/>
    <row r="145" ht="15.75" customHeight="1" s="136"/>
    <row r="146" ht="15.75" customHeight="1" s="136"/>
    <row r="147" ht="15.75" customHeight="1" s="136"/>
    <row r="148" ht="15.75" customHeight="1" s="136"/>
    <row r="149" ht="15.75" customHeight="1" s="136"/>
    <row r="150" ht="15.75" customHeight="1" s="136"/>
    <row r="151" ht="15.75" customHeight="1" s="136"/>
    <row r="152" ht="15.75" customHeight="1" s="136"/>
    <row r="153" ht="15.75" customHeight="1" s="136"/>
    <row r="154" ht="15.75" customHeight="1" s="136"/>
    <row r="155" ht="15.75" customHeight="1" s="136"/>
    <row r="156" ht="15.75" customHeight="1" s="136"/>
    <row r="157" ht="15.75" customHeight="1" s="136"/>
    <row r="158" ht="15.75" customHeight="1" s="136"/>
    <row r="159" ht="15.75" customHeight="1" s="136"/>
    <row r="160" ht="15.75" customHeight="1" s="136"/>
    <row r="161" ht="15.75" customHeight="1" s="136"/>
    <row r="162" ht="15.75" customHeight="1" s="136"/>
    <row r="163" ht="15.75" customHeight="1" s="136"/>
    <row r="164" ht="15.75" customHeight="1" s="136"/>
    <row r="165" ht="15.75" customHeight="1" s="136"/>
    <row r="166" ht="15.75" customHeight="1" s="136"/>
    <row r="167" ht="15.75" customHeight="1" s="136"/>
    <row r="168" ht="15.75" customHeight="1" s="136"/>
    <row r="169" ht="15.75" customHeight="1" s="136"/>
    <row r="170" ht="15.75" customHeight="1" s="136"/>
    <row r="171" ht="15.75" customHeight="1" s="136"/>
    <row r="172" ht="15.75" customHeight="1" s="136"/>
    <row r="173" ht="15.75" customHeight="1" s="136"/>
    <row r="174" ht="15.75" customHeight="1" s="136"/>
    <row r="175" ht="15.75" customHeight="1" s="136"/>
    <row r="176" ht="15.75" customHeight="1" s="136"/>
    <row r="177" ht="15.75" customHeight="1" s="136"/>
    <row r="178" ht="15.75" customHeight="1" s="136"/>
    <row r="179" ht="15.75" customHeight="1" s="136"/>
    <row r="180" ht="15.75" customHeight="1" s="136"/>
    <row r="181" ht="15.75" customHeight="1" s="136"/>
    <row r="182" ht="15.75" customHeight="1" s="136"/>
    <row r="183" ht="15.75" customHeight="1" s="136"/>
    <row r="184" ht="15.75" customHeight="1" s="136"/>
    <row r="185" ht="15.75" customHeight="1" s="136"/>
    <row r="186" ht="15.75" customHeight="1" s="136"/>
    <row r="187" ht="15.75" customHeight="1" s="136"/>
    <row r="188" ht="15.75" customHeight="1" s="136"/>
    <row r="189" ht="15.75" customHeight="1" s="136"/>
    <row r="190" ht="15.75" customHeight="1" s="136"/>
    <row r="191" ht="15.75" customHeight="1" s="136"/>
    <row r="192" ht="15.75" customHeight="1" s="136"/>
    <row r="193" ht="15.75" customHeight="1" s="136"/>
    <row r="194" ht="15.75" customHeight="1" s="136"/>
    <row r="195" ht="15.75" customHeight="1" s="136"/>
    <row r="196" ht="15.75" customHeight="1" s="136"/>
    <row r="197" ht="15.75" customHeight="1" s="136"/>
    <row r="198" ht="15.75" customHeight="1" s="136"/>
    <row r="199" ht="15.75" customHeight="1" s="136"/>
    <row r="200" ht="15.75" customHeight="1" s="136"/>
    <row r="201" ht="15.75" customHeight="1" s="136"/>
    <row r="202" ht="15.75" customHeight="1" s="136"/>
    <row r="203" ht="15.75" customHeight="1" s="136"/>
    <row r="204" ht="15.75" customHeight="1" s="136"/>
    <row r="205" ht="15.75" customHeight="1" s="136"/>
    <row r="206" ht="15.75" customHeight="1" s="136"/>
    <row r="207" ht="15.75" customHeight="1" s="136"/>
    <row r="208" ht="15.75" customHeight="1" s="136"/>
    <row r="209" ht="15.75" customHeight="1" s="136"/>
    <row r="210" ht="15.75" customHeight="1" s="136"/>
    <row r="211" ht="15.75" customHeight="1" s="136"/>
    <row r="212" ht="15.75" customHeight="1" s="136"/>
    <row r="213" ht="15.75" customHeight="1" s="136"/>
    <row r="214" ht="15.75" customHeight="1" s="136"/>
    <row r="215" ht="15.75" customHeight="1" s="136"/>
    <row r="216" ht="15.75" customHeight="1" s="136"/>
    <row r="217" ht="15.75" customHeight="1" s="136"/>
    <row r="218" ht="15.75" customHeight="1" s="136"/>
    <row r="219" ht="15.75" customHeight="1" s="136"/>
    <row r="220" ht="15.75" customHeight="1" s="136"/>
    <row r="221" ht="15.75" customHeight="1" s="136"/>
    <row r="222" ht="15.75" customHeight="1" s="136"/>
    <row r="223" ht="15.75" customHeight="1" s="136"/>
    <row r="224" ht="15.75" customHeight="1" s="136"/>
    <row r="225" ht="15.75" customHeight="1" s="136"/>
    <row r="226" ht="15.75" customHeight="1" s="136"/>
    <row r="227" ht="15.75" customHeight="1" s="136"/>
    <row r="228" ht="15.75" customHeight="1" s="136"/>
    <row r="229" ht="15.75" customHeight="1" s="136"/>
    <row r="230" ht="15.75" customHeight="1" s="136"/>
    <row r="231" ht="15.75" customHeight="1" s="136"/>
    <row r="232" ht="15.75" customHeight="1" s="136"/>
    <row r="233" ht="15.75" customHeight="1" s="136"/>
    <row r="234" ht="15.75" customHeight="1" s="136"/>
    <row r="235" ht="15.75" customHeight="1" s="136"/>
    <row r="236" ht="15.75" customHeight="1" s="136"/>
    <row r="237" ht="15.75" customHeight="1" s="136"/>
    <row r="238" ht="15.75" customHeight="1" s="136"/>
    <row r="239" ht="15.75" customHeight="1" s="136"/>
    <row r="240" ht="15.75" customHeight="1" s="136"/>
    <row r="241" ht="15.75" customHeight="1" s="136"/>
    <row r="242" ht="15.75" customHeight="1" s="136"/>
    <row r="243" ht="15.75" customHeight="1" s="136"/>
    <row r="244" ht="15.75" customHeight="1" s="136"/>
    <row r="245" ht="15.75" customHeight="1" s="136"/>
    <row r="246" ht="15.75" customHeight="1" s="136"/>
    <row r="247" ht="15.75" customHeight="1" s="136"/>
    <row r="248" ht="15.75" customHeight="1" s="136"/>
    <row r="249" ht="15.75" customHeight="1" s="136"/>
    <row r="250" ht="15.75" customHeight="1" s="136"/>
    <row r="251" ht="15.75" customHeight="1" s="136"/>
    <row r="252" ht="15.75" customHeight="1" s="136"/>
    <row r="253" ht="15.75" customHeight="1" s="136"/>
    <row r="254" ht="15.75" customHeight="1" s="136"/>
    <row r="255" ht="15.75" customHeight="1" s="136"/>
    <row r="256" ht="15.75" customHeight="1" s="136"/>
    <row r="257" ht="15.75" customHeight="1" s="136"/>
    <row r="258" ht="15.75" customHeight="1" s="136"/>
    <row r="259" ht="15.75" customHeight="1" s="136"/>
    <row r="260" ht="15.75" customHeight="1" s="136"/>
    <row r="261" ht="15.75" customHeight="1" s="136"/>
    <row r="262" ht="15.75" customHeight="1" s="136"/>
    <row r="263" ht="15.75" customHeight="1" s="136"/>
    <row r="264" ht="15.75" customHeight="1" s="136"/>
    <row r="265" ht="15.75" customHeight="1" s="136"/>
    <row r="266" ht="15.75" customHeight="1" s="136"/>
    <row r="267" ht="15.75" customHeight="1" s="136"/>
    <row r="268" ht="15.75" customHeight="1" s="136"/>
    <row r="269" ht="15.75" customHeight="1" s="136"/>
    <row r="270" ht="15.75" customHeight="1" s="136"/>
    <row r="271" ht="15.75" customHeight="1" s="136"/>
    <row r="272" ht="15.75" customHeight="1" s="136"/>
    <row r="273" ht="15.75" customHeight="1" s="136"/>
    <row r="274" ht="15.75" customHeight="1" s="136"/>
    <row r="275" ht="15.75" customHeight="1" s="136"/>
    <row r="276" ht="15.75" customHeight="1" s="136"/>
    <row r="277" ht="15.75" customHeight="1" s="136"/>
    <row r="278" ht="15.75" customHeight="1" s="136"/>
    <row r="279" ht="15.75" customHeight="1" s="136"/>
    <row r="280" ht="15.75" customHeight="1" s="136"/>
    <row r="281" ht="15.75" customHeight="1" s="136"/>
    <row r="282" ht="15.75" customHeight="1" s="136"/>
    <row r="283" ht="15.75" customHeight="1" s="136"/>
    <row r="284" ht="15.75" customHeight="1" s="136"/>
    <row r="285" ht="15.75" customHeight="1" s="136"/>
    <row r="286" ht="15.75" customHeight="1" s="136"/>
    <row r="287" ht="15.75" customHeight="1" s="136"/>
    <row r="288" ht="15.75" customHeight="1" s="136"/>
    <row r="289" ht="15.75" customHeight="1" s="136"/>
    <row r="290" ht="15.75" customHeight="1" s="136"/>
    <row r="291" ht="15.75" customHeight="1" s="136"/>
    <row r="292" ht="15.75" customHeight="1" s="136"/>
    <row r="293" ht="15.75" customHeight="1" s="136"/>
    <row r="294" ht="15.75" customHeight="1" s="136"/>
    <row r="295" ht="15.75" customHeight="1" s="136"/>
    <row r="296" ht="15.75" customHeight="1" s="136"/>
    <row r="297" ht="15.75" customHeight="1" s="136"/>
    <row r="298" ht="15.75" customHeight="1" s="136"/>
    <row r="299" ht="15.75" customHeight="1" s="136"/>
    <row r="300" ht="15.75" customHeight="1" s="136"/>
    <row r="301" ht="15.75" customHeight="1" s="136"/>
    <row r="302" ht="15.75" customHeight="1" s="136"/>
    <row r="303" ht="15.75" customHeight="1" s="136"/>
    <row r="304" ht="15.75" customHeight="1" s="136"/>
    <row r="305" ht="15.75" customHeight="1" s="136"/>
    <row r="306" ht="15.75" customHeight="1" s="136"/>
    <row r="307" ht="15.75" customHeight="1" s="136"/>
    <row r="308" ht="15.75" customHeight="1" s="136"/>
    <row r="309" ht="15.75" customHeight="1" s="136"/>
    <row r="310" ht="15.75" customHeight="1" s="136"/>
    <row r="311" ht="15.75" customHeight="1" s="136"/>
    <row r="312" ht="15.75" customHeight="1" s="136"/>
    <row r="313" ht="15.75" customHeight="1" s="136"/>
    <row r="314" ht="15.75" customHeight="1" s="136"/>
    <row r="315" ht="15.75" customHeight="1" s="136"/>
    <row r="316" ht="15.75" customHeight="1" s="136"/>
    <row r="317" ht="15.75" customHeight="1" s="136"/>
    <row r="318" ht="15.75" customHeight="1" s="136"/>
    <row r="319" ht="15.75" customHeight="1" s="136"/>
    <row r="320" ht="15.75" customHeight="1" s="136"/>
    <row r="321" ht="15.75" customHeight="1" s="136"/>
    <row r="322" ht="15.75" customHeight="1" s="136"/>
    <row r="323" ht="15.75" customHeight="1" s="136"/>
    <row r="324" ht="15.75" customHeight="1" s="136"/>
    <row r="325" ht="15.75" customHeight="1" s="136"/>
    <row r="326" ht="15.75" customHeight="1" s="136"/>
    <row r="327" ht="15.75" customHeight="1" s="136"/>
    <row r="328" ht="15.75" customHeight="1" s="136"/>
    <row r="329" ht="15.75" customHeight="1" s="136"/>
    <row r="330" ht="15.75" customHeight="1" s="136"/>
    <row r="331" ht="15.75" customHeight="1" s="136"/>
    <row r="332" ht="15.75" customHeight="1" s="136"/>
    <row r="333" ht="15.75" customHeight="1" s="136"/>
    <row r="334" ht="15.75" customHeight="1" s="136"/>
    <row r="335" ht="15.75" customHeight="1" s="136"/>
    <row r="336" ht="15.75" customHeight="1" s="136"/>
    <row r="337" ht="15.75" customHeight="1" s="136"/>
    <row r="338" ht="15.75" customHeight="1" s="136"/>
    <row r="339" ht="15.75" customHeight="1" s="136"/>
    <row r="340" ht="15.75" customHeight="1" s="136"/>
    <row r="341" ht="15.75" customHeight="1" s="136"/>
    <row r="342" ht="15.75" customHeight="1" s="136"/>
    <row r="343" ht="15.75" customHeight="1" s="136"/>
    <row r="344" ht="15.75" customHeight="1" s="136"/>
    <row r="345" ht="15.75" customHeight="1" s="136"/>
    <row r="346" ht="15.75" customHeight="1" s="136"/>
    <row r="347" ht="15.75" customHeight="1" s="136"/>
    <row r="348" ht="15.75" customHeight="1" s="136"/>
    <row r="349" ht="15.75" customHeight="1" s="136"/>
    <row r="350" ht="15.75" customHeight="1" s="136"/>
    <row r="351" ht="15.75" customHeight="1" s="136"/>
    <row r="352" ht="15.75" customHeight="1" s="136"/>
    <row r="353" ht="15.75" customHeight="1" s="136"/>
    <row r="354" ht="15.75" customHeight="1" s="136"/>
    <row r="355" ht="15.75" customHeight="1" s="136"/>
    <row r="356" ht="15.75" customHeight="1" s="136"/>
    <row r="357" ht="15.75" customHeight="1" s="136"/>
    <row r="358" ht="15.75" customHeight="1" s="136"/>
    <row r="359" ht="15.75" customHeight="1" s="136"/>
    <row r="360" ht="15.75" customHeight="1" s="136"/>
    <row r="361" ht="15.75" customHeight="1" s="136"/>
    <row r="362" ht="15.75" customHeight="1" s="136"/>
    <row r="363" ht="15.75" customHeight="1" s="136"/>
    <row r="364" ht="15.75" customHeight="1" s="136"/>
    <row r="365" ht="15.75" customHeight="1" s="136"/>
    <row r="366" ht="15.75" customHeight="1" s="136"/>
    <row r="367" ht="15.75" customHeight="1" s="136"/>
    <row r="368" ht="15.75" customHeight="1" s="136"/>
    <row r="369" ht="15.75" customHeight="1" s="136"/>
    <row r="370" ht="15.75" customHeight="1" s="136"/>
    <row r="371" ht="15.75" customHeight="1" s="136"/>
    <row r="372" ht="15.75" customHeight="1" s="136"/>
    <row r="373" ht="15.75" customHeight="1" s="136"/>
    <row r="374" ht="15.75" customHeight="1" s="136"/>
    <row r="375" ht="15.75" customHeight="1" s="136"/>
    <row r="376" ht="15.75" customHeight="1" s="136"/>
    <row r="377" ht="15.75" customHeight="1" s="136"/>
    <row r="378" ht="15.75" customHeight="1" s="136"/>
    <row r="379" ht="15.75" customHeight="1" s="136"/>
    <row r="380" ht="15.75" customHeight="1" s="136"/>
    <row r="381" ht="15.75" customHeight="1" s="136"/>
    <row r="382" ht="15.75" customHeight="1" s="136"/>
    <row r="383" ht="15.75" customHeight="1" s="136"/>
    <row r="384" ht="15.75" customHeight="1" s="136"/>
    <row r="385" ht="15.75" customHeight="1" s="136"/>
    <row r="386" ht="15.75" customHeight="1" s="136"/>
    <row r="387" ht="15.75" customHeight="1" s="136"/>
    <row r="388" ht="15.75" customHeight="1" s="136"/>
    <row r="389" ht="15.75" customHeight="1" s="136"/>
    <row r="390" ht="15.75" customHeight="1" s="136"/>
    <row r="391" ht="15.75" customHeight="1" s="136"/>
    <row r="392" ht="15.75" customHeight="1" s="136"/>
    <row r="393" ht="15.75" customHeight="1" s="136"/>
    <row r="394" ht="15.75" customHeight="1" s="136"/>
    <row r="395" ht="15.75" customHeight="1" s="136"/>
    <row r="396" ht="15.75" customHeight="1" s="136"/>
    <row r="397" ht="15.75" customHeight="1" s="136"/>
    <row r="398" ht="15.75" customHeight="1" s="136"/>
    <row r="399" ht="15.75" customHeight="1" s="136"/>
    <row r="400" ht="15.75" customHeight="1" s="136"/>
    <row r="401" ht="15.75" customHeight="1" s="136"/>
    <row r="402" ht="15.75" customHeight="1" s="136"/>
    <row r="403" ht="15.75" customHeight="1" s="136"/>
    <row r="404" ht="15.75" customHeight="1" s="136"/>
    <row r="405" ht="15.75" customHeight="1" s="136"/>
    <row r="406" ht="15.75" customHeight="1" s="136"/>
    <row r="407" ht="15.75" customHeight="1" s="136"/>
    <row r="408" ht="15.75" customHeight="1" s="136"/>
    <row r="409" ht="15.75" customHeight="1" s="136"/>
    <row r="410" ht="15.75" customHeight="1" s="136"/>
    <row r="411" ht="15.75" customHeight="1" s="136"/>
    <row r="412" ht="15.75" customHeight="1" s="136"/>
    <row r="413" ht="15.75" customHeight="1" s="136"/>
    <row r="414" ht="15.75" customHeight="1" s="136"/>
    <row r="415" ht="15.75" customHeight="1" s="136"/>
    <row r="416" ht="15.75" customHeight="1" s="136"/>
    <row r="417" ht="15.75" customHeight="1" s="136"/>
    <row r="418" ht="15.75" customHeight="1" s="136"/>
    <row r="419" ht="15.75" customHeight="1" s="136"/>
    <row r="420" ht="15.75" customHeight="1" s="136"/>
    <row r="421" ht="15.75" customHeight="1" s="136"/>
    <row r="422" ht="15.75" customHeight="1" s="136"/>
    <row r="423" ht="15.75" customHeight="1" s="136"/>
    <row r="424" ht="15.75" customHeight="1" s="136"/>
    <row r="425" ht="15.75" customHeight="1" s="136"/>
    <row r="426" ht="15.75" customHeight="1" s="136"/>
    <row r="427" ht="15.75" customHeight="1" s="136"/>
    <row r="428" ht="15.75" customHeight="1" s="136"/>
    <row r="429" ht="15.75" customHeight="1" s="136"/>
    <row r="430" ht="15.75" customHeight="1" s="136"/>
    <row r="431" ht="15.75" customHeight="1" s="136"/>
    <row r="432" ht="15.75" customHeight="1" s="136"/>
    <row r="433" ht="15.75" customHeight="1" s="136"/>
    <row r="434" ht="15.75" customHeight="1" s="136"/>
    <row r="435" ht="15.75" customHeight="1" s="136"/>
    <row r="436" ht="15.75" customHeight="1" s="136"/>
    <row r="437" ht="15.75" customHeight="1" s="136"/>
    <row r="438" ht="15.75" customHeight="1" s="136"/>
    <row r="439" ht="15.75" customHeight="1" s="136"/>
    <row r="440" ht="15.75" customHeight="1" s="136"/>
    <row r="441" ht="15.75" customHeight="1" s="136"/>
    <row r="442" ht="15.75" customHeight="1" s="136"/>
    <row r="443" ht="15.75" customHeight="1" s="136"/>
    <row r="444" ht="15.75" customHeight="1" s="136"/>
    <row r="445" ht="15.75" customHeight="1" s="136"/>
    <row r="446" ht="15.75" customHeight="1" s="136"/>
    <row r="447" ht="15.75" customHeight="1" s="136"/>
    <row r="448" ht="15.75" customHeight="1" s="136"/>
    <row r="449" ht="15.75" customHeight="1" s="136"/>
    <row r="450" ht="15.75" customHeight="1" s="136"/>
    <row r="451" ht="15.75" customHeight="1" s="136"/>
    <row r="452" ht="15.75" customHeight="1" s="136"/>
    <row r="453" ht="15.75" customHeight="1" s="136"/>
    <row r="454" ht="15.75" customHeight="1" s="136"/>
    <row r="455" ht="15.75" customHeight="1" s="136"/>
    <row r="456" ht="15.75" customHeight="1" s="136"/>
    <row r="457" ht="15.75" customHeight="1" s="136"/>
    <row r="458" ht="15.75" customHeight="1" s="136"/>
    <row r="459" ht="15.75" customHeight="1" s="136"/>
    <row r="460" ht="15.75" customHeight="1" s="136"/>
    <row r="461" ht="15.75" customHeight="1" s="136"/>
    <row r="462" ht="15.75" customHeight="1" s="136"/>
    <row r="463" ht="15.75" customHeight="1" s="136"/>
    <row r="464" ht="15.75" customHeight="1" s="136"/>
    <row r="465" ht="15.75" customHeight="1" s="136"/>
    <row r="466" ht="15.75" customHeight="1" s="136"/>
    <row r="467" ht="15.75" customHeight="1" s="136"/>
    <row r="468" ht="15.75" customHeight="1" s="136"/>
    <row r="469" ht="15.75" customHeight="1" s="136"/>
    <row r="470" ht="15.75" customHeight="1" s="136"/>
    <row r="471" ht="15.75" customHeight="1" s="136"/>
    <row r="472" ht="15.75" customHeight="1" s="136"/>
    <row r="473" ht="15.75" customHeight="1" s="136"/>
    <row r="474" ht="15.75" customHeight="1" s="136"/>
    <row r="475" ht="15.75" customHeight="1" s="136"/>
    <row r="476" ht="15.75" customHeight="1" s="136"/>
    <row r="477" ht="15.75" customHeight="1" s="136"/>
    <row r="478" ht="15.75" customHeight="1" s="136"/>
    <row r="479" ht="15.75" customHeight="1" s="136"/>
    <row r="480" ht="15.75" customHeight="1" s="136"/>
    <row r="481" ht="15.75" customHeight="1" s="136"/>
    <row r="482" ht="15.75" customHeight="1" s="136"/>
    <row r="483" ht="15.75" customHeight="1" s="136"/>
    <row r="484" ht="15.75" customHeight="1" s="136"/>
    <row r="485" ht="15.75" customHeight="1" s="136"/>
    <row r="486" ht="15.75" customHeight="1" s="136"/>
    <row r="487" ht="15.75" customHeight="1" s="136"/>
    <row r="488" ht="15.75" customHeight="1" s="136"/>
    <row r="489" ht="15.75" customHeight="1" s="136"/>
    <row r="490" ht="15.75" customHeight="1" s="136"/>
    <row r="491" ht="15.75" customHeight="1" s="136"/>
    <row r="492" ht="15.75" customHeight="1" s="136"/>
    <row r="493" ht="15.75" customHeight="1" s="136"/>
    <row r="494" ht="15.75" customHeight="1" s="136"/>
    <row r="495" ht="15.75" customHeight="1" s="136"/>
    <row r="496" ht="15.75" customHeight="1" s="136"/>
    <row r="497" ht="15.75" customHeight="1" s="136"/>
    <row r="498" ht="15.75" customHeight="1" s="136"/>
    <row r="499" ht="15.75" customHeight="1" s="136"/>
    <row r="500" ht="15.75" customHeight="1" s="136"/>
    <row r="501" ht="15.75" customHeight="1" s="136"/>
    <row r="502" ht="15.75" customHeight="1" s="136"/>
    <row r="503" ht="15.75" customHeight="1" s="136"/>
    <row r="504" ht="15.75" customHeight="1" s="136"/>
    <row r="505" ht="15.75" customHeight="1" s="136"/>
    <row r="506" ht="15.75" customHeight="1" s="136"/>
    <row r="507" ht="15.75" customHeight="1" s="136"/>
    <row r="508" ht="15.75" customHeight="1" s="136"/>
    <row r="509" ht="15.75" customHeight="1" s="136"/>
    <row r="510" ht="15.75" customHeight="1" s="136"/>
    <row r="511" ht="15.75" customHeight="1" s="136"/>
    <row r="512" ht="15.75" customHeight="1" s="136"/>
    <row r="513" ht="15.75" customHeight="1" s="136"/>
    <row r="514" ht="15.75" customHeight="1" s="136"/>
    <row r="515" ht="15.75" customHeight="1" s="136"/>
    <row r="516" ht="15.75" customHeight="1" s="136"/>
    <row r="517" ht="15.75" customHeight="1" s="136"/>
    <row r="518" ht="15.75" customHeight="1" s="136"/>
    <row r="519" ht="15.75" customHeight="1" s="136"/>
    <row r="520" ht="15.75" customHeight="1" s="136"/>
    <row r="521" ht="15.75" customHeight="1" s="136"/>
    <row r="522" ht="15.75" customHeight="1" s="136"/>
    <row r="523" ht="15.75" customHeight="1" s="136"/>
    <row r="524" ht="15.75" customHeight="1" s="136"/>
    <row r="525" ht="15.75" customHeight="1" s="136"/>
    <row r="526" ht="15.75" customHeight="1" s="136"/>
    <row r="527" ht="15.75" customHeight="1" s="136"/>
    <row r="528" ht="15.75" customHeight="1" s="136"/>
    <row r="529" ht="15.75" customHeight="1" s="136"/>
    <row r="530" ht="15.75" customHeight="1" s="136"/>
    <row r="531" ht="15.75" customHeight="1" s="136"/>
    <row r="532" ht="15.75" customHeight="1" s="136"/>
    <row r="533" ht="15.75" customHeight="1" s="136"/>
    <row r="534" ht="15.75" customHeight="1" s="136"/>
    <row r="535" ht="15.75" customHeight="1" s="136"/>
    <row r="536" ht="15.75" customHeight="1" s="136"/>
    <row r="537" ht="15.75" customHeight="1" s="136"/>
    <row r="538" ht="15.75" customHeight="1" s="136"/>
    <row r="539" ht="15.75" customHeight="1" s="136"/>
    <row r="540" ht="15.75" customHeight="1" s="136"/>
    <row r="541" ht="15.75" customHeight="1" s="136"/>
    <row r="542" ht="15.75" customHeight="1" s="136"/>
    <row r="543" ht="15.75" customHeight="1" s="136"/>
    <row r="544" ht="15.75" customHeight="1" s="136"/>
    <row r="545" ht="15.75" customHeight="1" s="136"/>
    <row r="546" ht="15.75" customHeight="1" s="136"/>
    <row r="547" ht="15.75" customHeight="1" s="136"/>
    <row r="548" ht="15.75" customHeight="1" s="136"/>
    <row r="549" ht="15.75" customHeight="1" s="136"/>
    <row r="550" ht="15.75" customHeight="1" s="136"/>
    <row r="551" ht="15.75" customHeight="1" s="136"/>
    <row r="552" ht="15.75" customHeight="1" s="136"/>
    <row r="553" ht="15.75" customHeight="1" s="136"/>
    <row r="554" ht="15.75" customHeight="1" s="136"/>
    <row r="555" ht="15.75" customHeight="1" s="136"/>
    <row r="556" ht="15.75" customHeight="1" s="136"/>
    <row r="557" ht="15.75" customHeight="1" s="136"/>
    <row r="558" ht="15.75" customHeight="1" s="136"/>
    <row r="559" ht="15.75" customHeight="1" s="136"/>
    <row r="560" ht="15.75" customHeight="1" s="136"/>
    <row r="561" ht="15.75" customHeight="1" s="136"/>
    <row r="562" ht="15.75" customHeight="1" s="136"/>
    <row r="563" ht="15.75" customHeight="1" s="136"/>
    <row r="564" ht="15.75" customHeight="1" s="136"/>
    <row r="565" ht="15.75" customHeight="1" s="136"/>
    <row r="566" ht="15.75" customHeight="1" s="136"/>
    <row r="567" ht="15.75" customHeight="1" s="136"/>
    <row r="568" ht="15.75" customHeight="1" s="136"/>
    <row r="569" ht="15.75" customHeight="1" s="136"/>
    <row r="570" ht="15.75" customHeight="1" s="136"/>
    <row r="571" ht="15.75" customHeight="1" s="136"/>
    <row r="572" ht="15.75" customHeight="1" s="136"/>
    <row r="573" ht="15.75" customHeight="1" s="136"/>
    <row r="574" ht="15.75" customHeight="1" s="136"/>
    <row r="575" ht="15.75" customHeight="1" s="136"/>
    <row r="576" ht="15.75" customHeight="1" s="136"/>
    <row r="577" ht="15.75" customHeight="1" s="136"/>
    <row r="578" ht="15.75" customHeight="1" s="136"/>
    <row r="579" ht="15.75" customHeight="1" s="136"/>
    <row r="580" ht="15.75" customHeight="1" s="136"/>
    <row r="581" ht="15.75" customHeight="1" s="136"/>
    <row r="582" ht="15.75" customHeight="1" s="136"/>
    <row r="583" ht="15.75" customHeight="1" s="136"/>
    <row r="584" ht="15.75" customHeight="1" s="136"/>
    <row r="585" ht="15.75" customHeight="1" s="136"/>
    <row r="586" ht="15.75" customHeight="1" s="136"/>
    <row r="587" ht="15.75" customHeight="1" s="136"/>
    <row r="588" ht="15.75" customHeight="1" s="136"/>
    <row r="589" ht="15.75" customHeight="1" s="136"/>
    <row r="590" ht="15.75" customHeight="1" s="136"/>
    <row r="591" ht="15.75" customHeight="1" s="136"/>
    <row r="592" ht="15.75" customHeight="1" s="136"/>
    <row r="593" ht="15.75" customHeight="1" s="136"/>
    <row r="594" ht="15.75" customHeight="1" s="136"/>
    <row r="595" ht="15.75" customHeight="1" s="136"/>
    <row r="596" ht="15.75" customHeight="1" s="136"/>
    <row r="597" ht="15.75" customHeight="1" s="136"/>
    <row r="598" ht="15.75" customHeight="1" s="136"/>
    <row r="599" ht="15.75" customHeight="1" s="136"/>
    <row r="600" ht="15.75" customHeight="1" s="136"/>
    <row r="601" ht="15.75" customHeight="1" s="136"/>
    <row r="602" ht="15.75" customHeight="1" s="136"/>
    <row r="603" ht="15.75" customHeight="1" s="136"/>
    <row r="604" ht="15.75" customHeight="1" s="136"/>
    <row r="605" ht="15.75" customHeight="1" s="136"/>
    <row r="606" ht="15.75" customHeight="1" s="136"/>
    <row r="607" ht="15.75" customHeight="1" s="136"/>
    <row r="608" ht="15.75" customHeight="1" s="136"/>
    <row r="609" ht="15.75" customHeight="1" s="136"/>
    <row r="610" ht="15.75" customHeight="1" s="136"/>
    <row r="611" ht="15.75" customHeight="1" s="136"/>
    <row r="612" ht="15.75" customHeight="1" s="136"/>
    <row r="613" ht="15.75" customHeight="1" s="136"/>
    <row r="614" ht="15.75" customHeight="1" s="136"/>
    <row r="615" ht="15.75" customHeight="1" s="136"/>
    <row r="616" ht="15.75" customHeight="1" s="136"/>
    <row r="617" ht="15.75" customHeight="1" s="136"/>
    <row r="618" ht="15.75" customHeight="1" s="136"/>
    <row r="619" ht="15.75" customHeight="1" s="136"/>
    <row r="620" ht="15.75" customHeight="1" s="136"/>
    <row r="621" ht="15.75" customHeight="1" s="136"/>
    <row r="622" ht="15.75" customHeight="1" s="136"/>
    <row r="623" ht="15.75" customHeight="1" s="136"/>
    <row r="624" ht="15.75" customHeight="1" s="136"/>
    <row r="625" ht="15.75" customHeight="1" s="136"/>
    <row r="626" ht="15.75" customHeight="1" s="136"/>
    <row r="627" ht="15.75" customHeight="1" s="136"/>
    <row r="628" ht="15.75" customHeight="1" s="136"/>
    <row r="629" ht="15.75" customHeight="1" s="136"/>
    <row r="630" ht="15.75" customHeight="1" s="136"/>
    <row r="631" ht="15.75" customHeight="1" s="136"/>
    <row r="632" ht="15.75" customHeight="1" s="136"/>
    <row r="633" ht="15.75" customHeight="1" s="136"/>
    <row r="634" ht="15.75" customHeight="1" s="136"/>
    <row r="635" ht="15.75" customHeight="1" s="136"/>
    <row r="636" ht="15.75" customHeight="1" s="136"/>
    <row r="637" ht="15.75" customHeight="1" s="136"/>
    <row r="638" ht="15.75" customHeight="1" s="136"/>
    <row r="639" ht="15.75" customHeight="1" s="136"/>
    <row r="640" ht="15.75" customHeight="1" s="136"/>
    <row r="641" ht="15.75" customHeight="1" s="136"/>
    <row r="642" ht="15.75" customHeight="1" s="136"/>
    <row r="643" ht="15.75" customHeight="1" s="136"/>
    <row r="644" ht="15.75" customHeight="1" s="136"/>
    <row r="645" ht="15.75" customHeight="1" s="136"/>
    <row r="646" ht="15.75" customHeight="1" s="136"/>
    <row r="647" ht="15.75" customHeight="1" s="136"/>
    <row r="648" ht="15.75" customHeight="1" s="136"/>
    <row r="649" ht="15.75" customHeight="1" s="136"/>
    <row r="650" ht="15.75" customHeight="1" s="136"/>
    <row r="651" ht="15.75" customHeight="1" s="136"/>
    <row r="652" ht="15.75" customHeight="1" s="136"/>
    <row r="653" ht="15.75" customHeight="1" s="136"/>
    <row r="654" ht="15.75" customHeight="1" s="136"/>
    <row r="655" ht="15.75" customHeight="1" s="136"/>
    <row r="656" ht="15.75" customHeight="1" s="136"/>
    <row r="657" ht="15.75" customHeight="1" s="136"/>
    <row r="658" ht="15.75" customHeight="1" s="136"/>
    <row r="659" ht="15.75" customHeight="1" s="136"/>
    <row r="660" ht="15.75" customHeight="1" s="136"/>
    <row r="661" ht="15.75" customHeight="1" s="136"/>
    <row r="662" ht="15.75" customHeight="1" s="136"/>
    <row r="663" ht="15.75" customHeight="1" s="136"/>
    <row r="664" ht="15.75" customHeight="1" s="136"/>
    <row r="665" ht="15.75" customHeight="1" s="136"/>
    <row r="666" ht="15.75" customHeight="1" s="136"/>
    <row r="667" ht="15.75" customHeight="1" s="136"/>
    <row r="668" ht="15.75" customHeight="1" s="136"/>
    <row r="669" ht="15.75" customHeight="1" s="136"/>
    <row r="670" ht="15.75" customHeight="1" s="136"/>
    <row r="671" ht="15.75" customHeight="1" s="136"/>
    <row r="672" ht="15.75" customHeight="1" s="136"/>
    <row r="673" ht="15.75" customHeight="1" s="136"/>
    <row r="674" ht="15.75" customHeight="1" s="136"/>
    <row r="675" ht="15.75" customHeight="1" s="136"/>
    <row r="676" ht="15.75" customHeight="1" s="136"/>
    <row r="677" ht="15.75" customHeight="1" s="136"/>
    <row r="678" ht="15.75" customHeight="1" s="136"/>
    <row r="679" ht="15.75" customHeight="1" s="136"/>
    <row r="680" ht="15.75" customHeight="1" s="136"/>
    <row r="681" ht="15.75" customHeight="1" s="136"/>
    <row r="682" ht="15.75" customHeight="1" s="136"/>
    <row r="683" ht="15.75" customHeight="1" s="136"/>
    <row r="684" ht="15.75" customHeight="1" s="136"/>
    <row r="685" ht="15.75" customHeight="1" s="136"/>
    <row r="686" ht="15.75" customHeight="1" s="136"/>
    <row r="687" ht="15.75" customHeight="1" s="136"/>
    <row r="688" ht="15.75" customHeight="1" s="136"/>
    <row r="689" ht="15.75" customHeight="1" s="136"/>
    <row r="690" ht="15.75" customHeight="1" s="136"/>
    <row r="691" ht="15.75" customHeight="1" s="136"/>
    <row r="692" ht="15.75" customHeight="1" s="136"/>
    <row r="693" ht="15.75" customHeight="1" s="136"/>
    <row r="694" ht="15.75" customHeight="1" s="136"/>
    <row r="695" ht="15.75" customHeight="1" s="136"/>
    <row r="696" ht="15.75" customHeight="1" s="136"/>
    <row r="697" ht="15.75" customHeight="1" s="136"/>
    <row r="698" ht="15.75" customHeight="1" s="136"/>
    <row r="699" ht="15.75" customHeight="1" s="136"/>
    <row r="700" ht="15.75" customHeight="1" s="136"/>
    <row r="701" ht="15.75" customHeight="1" s="136"/>
    <row r="702" ht="15.75" customHeight="1" s="136"/>
    <row r="703" ht="15.75" customHeight="1" s="136"/>
    <row r="704" ht="15.75" customHeight="1" s="136"/>
    <row r="705" ht="15.75" customHeight="1" s="136"/>
    <row r="706" ht="15.75" customHeight="1" s="136"/>
    <row r="707" ht="15.75" customHeight="1" s="136"/>
    <row r="708" ht="15.75" customHeight="1" s="136"/>
    <row r="709" ht="15.75" customHeight="1" s="136"/>
    <row r="710" ht="15.75" customHeight="1" s="136"/>
    <row r="711" ht="15.75" customHeight="1" s="136"/>
    <row r="712" ht="15.75" customHeight="1" s="136"/>
    <row r="713" ht="15.75" customHeight="1" s="136"/>
    <row r="714" ht="15.75" customHeight="1" s="136"/>
    <row r="715" ht="15.75" customHeight="1" s="136"/>
    <row r="716" ht="15.75" customHeight="1" s="136"/>
    <row r="717" ht="15.75" customHeight="1" s="136"/>
    <row r="718" ht="15.75" customHeight="1" s="136"/>
    <row r="719" ht="15.75" customHeight="1" s="136"/>
    <row r="720" ht="15.75" customHeight="1" s="136"/>
    <row r="721" ht="15.75" customHeight="1" s="136"/>
    <row r="722" ht="15.75" customHeight="1" s="136"/>
    <row r="723" ht="15.75" customHeight="1" s="136"/>
    <row r="724" ht="15.75" customHeight="1" s="136"/>
    <row r="725" ht="15.75" customHeight="1" s="136"/>
    <row r="726" ht="15.75" customHeight="1" s="136"/>
    <row r="727" ht="15.75" customHeight="1" s="136"/>
    <row r="728" ht="15.75" customHeight="1" s="136"/>
    <row r="729" ht="15.75" customHeight="1" s="136"/>
    <row r="730" ht="15.75" customHeight="1" s="136"/>
    <row r="731" ht="15.75" customHeight="1" s="136"/>
    <row r="732" ht="15.75" customHeight="1" s="136"/>
    <row r="733" ht="15.75" customHeight="1" s="136"/>
    <row r="734" ht="15.75" customHeight="1" s="136"/>
    <row r="735" ht="15.75" customHeight="1" s="136"/>
    <row r="736" ht="15.75" customHeight="1" s="136"/>
    <row r="737" ht="15.75" customHeight="1" s="136"/>
    <row r="738" ht="15.75" customHeight="1" s="136"/>
    <row r="739" ht="15.75" customHeight="1" s="136"/>
    <row r="740" ht="15.75" customHeight="1" s="136"/>
    <row r="741" ht="15.75" customHeight="1" s="136"/>
    <row r="742" ht="15.75" customHeight="1" s="136"/>
    <row r="743" ht="15.75" customHeight="1" s="136"/>
    <row r="744" ht="15.75" customHeight="1" s="136"/>
    <row r="745" ht="15.75" customHeight="1" s="136"/>
    <row r="746" ht="15.75" customHeight="1" s="136"/>
    <row r="747" ht="15.75" customHeight="1" s="136"/>
    <row r="748" ht="15.75" customHeight="1" s="136"/>
    <row r="749" ht="15.75" customHeight="1" s="136"/>
    <row r="750" ht="15.75" customHeight="1" s="136"/>
    <row r="751" ht="15.75" customHeight="1" s="136"/>
    <row r="752" ht="15.75" customHeight="1" s="136"/>
    <row r="753" ht="15.75" customHeight="1" s="136"/>
    <row r="754" ht="15.75" customHeight="1" s="136"/>
    <row r="755" ht="15.75" customHeight="1" s="136"/>
    <row r="756" ht="15.75" customHeight="1" s="136"/>
    <row r="757" ht="15.75" customHeight="1" s="136"/>
    <row r="758" ht="15.75" customHeight="1" s="136"/>
    <row r="759" ht="15.75" customHeight="1" s="136"/>
    <row r="760" ht="15.75" customHeight="1" s="136"/>
    <row r="761" ht="15.75" customHeight="1" s="136"/>
    <row r="762" ht="15.75" customHeight="1" s="136"/>
    <row r="763" ht="15.75" customHeight="1" s="136"/>
    <row r="764" ht="15.75" customHeight="1" s="136"/>
    <row r="765" ht="15.75" customHeight="1" s="136"/>
    <row r="766" ht="15.75" customHeight="1" s="136"/>
    <row r="767" ht="15.75" customHeight="1" s="136"/>
    <row r="768" ht="15.75" customHeight="1" s="136"/>
    <row r="769" ht="15.75" customHeight="1" s="136"/>
    <row r="770" ht="15.75" customHeight="1" s="136"/>
    <row r="771" ht="15.75" customHeight="1" s="136"/>
    <row r="772" ht="15.75" customHeight="1" s="136"/>
    <row r="773" ht="15.75" customHeight="1" s="136"/>
    <row r="774" ht="15.75" customHeight="1" s="136"/>
    <row r="775" ht="15.75" customHeight="1" s="136"/>
    <row r="776" ht="15.75" customHeight="1" s="136"/>
    <row r="777" ht="15.75" customHeight="1" s="136"/>
    <row r="778" ht="15.75" customHeight="1" s="136"/>
    <row r="779" ht="15.75" customHeight="1" s="136"/>
    <row r="780" ht="15.75" customHeight="1" s="136"/>
    <row r="781" ht="15.75" customHeight="1" s="136"/>
    <row r="782" ht="15.75" customHeight="1" s="136"/>
    <row r="783" ht="15.75" customHeight="1" s="136"/>
    <row r="784" ht="15.75" customHeight="1" s="136"/>
    <row r="785" ht="15.75" customHeight="1" s="136"/>
    <row r="786" ht="15.75" customHeight="1" s="136"/>
    <row r="787" ht="15.75" customHeight="1" s="136"/>
    <row r="788" ht="15.75" customHeight="1" s="136"/>
    <row r="789" ht="15.75" customHeight="1" s="136"/>
    <row r="790" ht="15.75" customHeight="1" s="136"/>
    <row r="791" ht="15.75" customHeight="1" s="136"/>
    <row r="792" ht="15.75" customHeight="1" s="136"/>
    <row r="793" ht="15.75" customHeight="1" s="136"/>
    <row r="794" ht="15.75" customHeight="1" s="136"/>
    <row r="795" ht="15.75" customHeight="1" s="136"/>
    <row r="796" ht="15.75" customHeight="1" s="136"/>
    <row r="797" ht="15.75" customHeight="1" s="136"/>
    <row r="798" ht="15.75" customHeight="1" s="136"/>
    <row r="799" ht="15.75" customHeight="1" s="136"/>
    <row r="800" ht="15.75" customHeight="1" s="136"/>
    <row r="801" ht="15.75" customHeight="1" s="136"/>
    <row r="802" ht="15.75" customHeight="1" s="136"/>
    <row r="803" ht="15.75" customHeight="1" s="136"/>
    <row r="804" ht="15.75" customHeight="1" s="136"/>
    <row r="805" ht="15.75" customHeight="1" s="136"/>
    <row r="806" ht="15.75" customHeight="1" s="136"/>
    <row r="807" ht="15.75" customHeight="1" s="136"/>
    <row r="808" ht="15.75" customHeight="1" s="136"/>
    <row r="809" ht="15.75" customHeight="1" s="136"/>
    <row r="810" ht="15.75" customHeight="1" s="136"/>
    <row r="811" ht="15.75" customHeight="1" s="136"/>
    <row r="812" ht="15.75" customHeight="1" s="136"/>
    <row r="813" ht="15.75" customHeight="1" s="136"/>
    <row r="814" ht="15.75" customHeight="1" s="136"/>
    <row r="815" ht="15.75" customHeight="1" s="136"/>
    <row r="816" ht="15.75" customHeight="1" s="136"/>
    <row r="817" ht="15.75" customHeight="1" s="136"/>
    <row r="818" ht="15.75" customHeight="1" s="136"/>
    <row r="819" ht="15.75" customHeight="1" s="136"/>
    <row r="820" ht="15.75" customHeight="1" s="136"/>
    <row r="821" ht="15.75" customHeight="1" s="136"/>
    <row r="822" ht="15.75" customHeight="1" s="136"/>
    <row r="823" ht="15.75" customHeight="1" s="136"/>
    <row r="824" ht="15.75" customHeight="1" s="136"/>
    <row r="825" ht="15.75" customHeight="1" s="136"/>
    <row r="826" ht="15.75" customHeight="1" s="136"/>
    <row r="827" ht="15.75" customHeight="1" s="136"/>
    <row r="828" ht="15.75" customHeight="1" s="136"/>
    <row r="829" ht="15.75" customHeight="1" s="136"/>
    <row r="830" ht="15.75" customHeight="1" s="136"/>
    <row r="831" ht="15.75" customHeight="1" s="136"/>
    <row r="832" ht="15.75" customHeight="1" s="136"/>
    <row r="833" ht="15.75" customHeight="1" s="136"/>
    <row r="834" ht="15.75" customHeight="1" s="136"/>
    <row r="835" ht="15.75" customHeight="1" s="136"/>
    <row r="836" ht="15.75" customHeight="1" s="136"/>
    <row r="837" ht="15.75" customHeight="1" s="136"/>
    <row r="838" ht="15.75" customHeight="1" s="136"/>
    <row r="839" ht="15.75" customHeight="1" s="136"/>
    <row r="840" ht="15.75" customHeight="1" s="136"/>
    <row r="841" ht="15.75" customHeight="1" s="136"/>
    <row r="842" ht="15.75" customHeight="1" s="136"/>
    <row r="843" ht="15.75" customHeight="1" s="136"/>
    <row r="844" ht="15.75" customHeight="1" s="136"/>
    <row r="845" ht="15.75" customHeight="1" s="136"/>
    <row r="846" ht="15.75" customHeight="1" s="136"/>
    <row r="847" ht="15.75" customHeight="1" s="136"/>
    <row r="848" ht="15.75" customHeight="1" s="136"/>
    <row r="849" ht="15.75" customHeight="1" s="136"/>
    <row r="850" ht="15.75" customHeight="1" s="136"/>
    <row r="851" ht="15.75" customHeight="1" s="136"/>
    <row r="852" ht="15.75" customHeight="1" s="136"/>
    <row r="853" ht="15.75" customHeight="1" s="136"/>
    <row r="854" ht="15.75" customHeight="1" s="136"/>
    <row r="855" ht="15.75" customHeight="1" s="136"/>
    <row r="856" ht="15.75" customHeight="1" s="136"/>
    <row r="857" ht="15.75" customHeight="1" s="136"/>
    <row r="858" ht="15.75" customHeight="1" s="136"/>
    <row r="859" ht="15.75" customHeight="1" s="136"/>
    <row r="860" ht="15.75" customHeight="1" s="136"/>
    <row r="861" ht="15.75" customHeight="1" s="136"/>
    <row r="862" ht="15.75" customHeight="1" s="136"/>
    <row r="863" ht="15.75" customHeight="1" s="136"/>
    <row r="864" ht="15.75" customHeight="1" s="136"/>
    <row r="865" ht="15.75" customHeight="1" s="136"/>
    <row r="866" ht="15.75" customHeight="1" s="136"/>
    <row r="867" ht="15.75" customHeight="1" s="136"/>
    <row r="868" ht="15.75" customHeight="1" s="136"/>
    <row r="869" ht="15.75" customHeight="1" s="136"/>
    <row r="870" ht="15.75" customHeight="1" s="136"/>
    <row r="871" ht="15.75" customHeight="1" s="136"/>
    <row r="872" ht="15.75" customHeight="1" s="136"/>
    <row r="873" ht="15.75" customHeight="1" s="136"/>
    <row r="874" ht="15.75" customHeight="1" s="136"/>
    <row r="875" ht="15.75" customHeight="1" s="136"/>
    <row r="876" ht="15.75" customHeight="1" s="136"/>
    <row r="877" ht="15.75" customHeight="1" s="136"/>
    <row r="878" ht="15.75" customHeight="1" s="136"/>
    <row r="879" ht="15.75" customHeight="1" s="136"/>
    <row r="880" ht="15.75" customHeight="1" s="136"/>
    <row r="881" ht="15.75" customHeight="1" s="136"/>
    <row r="882" ht="15.75" customHeight="1" s="136"/>
    <row r="883" ht="15.75" customHeight="1" s="136"/>
    <row r="884" ht="15.75" customHeight="1" s="136"/>
    <row r="885" ht="15.75" customHeight="1" s="136"/>
    <row r="886" ht="15.75" customHeight="1" s="136"/>
    <row r="887" ht="15.75" customHeight="1" s="136"/>
    <row r="888" ht="15.75" customHeight="1" s="136"/>
    <row r="889" ht="15.75" customHeight="1" s="136"/>
    <row r="890" ht="15.75" customHeight="1" s="136"/>
    <row r="891" ht="15.75" customHeight="1" s="136"/>
    <row r="892" ht="15.75" customHeight="1" s="136"/>
    <row r="893" ht="15.75" customHeight="1" s="136"/>
    <row r="894" ht="15.75" customHeight="1" s="136"/>
    <row r="895" ht="15.75" customHeight="1" s="136"/>
    <row r="896" ht="15.75" customHeight="1" s="136"/>
    <row r="897" ht="15.75" customHeight="1" s="136"/>
    <row r="898" ht="15.75" customHeight="1" s="136"/>
    <row r="899" ht="15.75" customHeight="1" s="136"/>
    <row r="900" ht="15.75" customHeight="1" s="136"/>
    <row r="901" ht="15.75" customHeight="1" s="136"/>
    <row r="902" ht="15.75" customHeight="1" s="136"/>
    <row r="903" ht="15.75" customHeight="1" s="136"/>
    <row r="904" ht="15.75" customHeight="1" s="136"/>
    <row r="905" ht="15.75" customHeight="1" s="136"/>
    <row r="906" ht="15.75" customHeight="1" s="136"/>
    <row r="907" ht="15.75" customHeight="1" s="136"/>
    <row r="908" ht="15.75" customHeight="1" s="136"/>
    <row r="909" ht="15.75" customHeight="1" s="136"/>
    <row r="910" ht="15.75" customHeight="1" s="136"/>
    <row r="911" ht="15.75" customHeight="1" s="136"/>
    <row r="912" ht="15.75" customHeight="1" s="136"/>
    <row r="913" ht="15.75" customHeight="1" s="136"/>
    <row r="914" ht="15.75" customHeight="1" s="136"/>
    <row r="915" ht="15.75" customHeight="1" s="136"/>
    <row r="916" ht="15.75" customHeight="1" s="136"/>
    <row r="917" ht="15.75" customHeight="1" s="136"/>
    <row r="918" ht="15.75" customHeight="1" s="136"/>
    <row r="919" ht="15.75" customHeight="1" s="136"/>
    <row r="920" ht="15.75" customHeight="1" s="136"/>
    <row r="921" ht="15.75" customHeight="1" s="136"/>
    <row r="922" ht="15.75" customHeight="1" s="136"/>
    <row r="923" ht="15.75" customHeight="1" s="136"/>
    <row r="924" ht="15.75" customHeight="1" s="136"/>
    <row r="925" ht="15.75" customHeight="1" s="136"/>
    <row r="926" ht="15.75" customHeight="1" s="136"/>
    <row r="927" ht="15.75" customHeight="1" s="136"/>
    <row r="928" ht="15.75" customHeight="1" s="136"/>
    <row r="929" ht="15.75" customHeight="1" s="136"/>
    <row r="930" ht="15.75" customHeight="1" s="136"/>
    <row r="931" ht="15.75" customHeight="1" s="136"/>
    <row r="932" ht="15.75" customHeight="1" s="136"/>
    <row r="933" ht="15.75" customHeight="1" s="136"/>
    <row r="934" ht="15.75" customHeight="1" s="136"/>
    <row r="935" ht="15.75" customHeight="1" s="136"/>
    <row r="936" ht="15.75" customHeight="1" s="136"/>
    <row r="937" ht="15.75" customHeight="1" s="136"/>
    <row r="938" ht="15.75" customHeight="1" s="136"/>
    <row r="939" ht="15.75" customHeight="1" s="136"/>
    <row r="940" ht="15.75" customHeight="1" s="136"/>
    <row r="941" ht="15.75" customHeight="1" s="136"/>
    <row r="942" ht="15.75" customHeight="1" s="136"/>
    <row r="943" ht="15.75" customHeight="1" s="136"/>
    <row r="944" ht="15.75" customHeight="1" s="136"/>
    <row r="945" ht="15.75" customHeight="1" s="136"/>
    <row r="946" ht="15.75" customHeight="1" s="136"/>
    <row r="947" ht="15.75" customHeight="1" s="136"/>
    <row r="948" ht="15.75" customHeight="1" s="136"/>
    <row r="949" ht="15.75" customHeight="1" s="136"/>
    <row r="950" ht="15.75" customHeight="1" s="136"/>
    <row r="951" ht="15.75" customHeight="1" s="136"/>
    <row r="952" ht="15.75" customHeight="1" s="136"/>
    <row r="953" ht="15.75" customHeight="1" s="136"/>
    <row r="954" ht="15.75" customHeight="1" s="136"/>
    <row r="955" ht="15.75" customHeight="1" s="136"/>
    <row r="956" ht="15.75" customHeight="1" s="136"/>
    <row r="957" ht="15.75" customHeight="1" s="136"/>
    <row r="958" ht="15.75" customHeight="1" s="136"/>
    <row r="959" ht="15.75" customHeight="1" s="136"/>
    <row r="960" ht="15.75" customHeight="1" s="136"/>
    <row r="961" ht="15.75" customHeight="1" s="136"/>
    <row r="962" ht="15.75" customHeight="1" s="136"/>
    <row r="963" ht="15.75" customHeight="1" s="136"/>
    <row r="964" ht="15.75" customHeight="1" s="136"/>
    <row r="965" ht="15.75" customHeight="1" s="136"/>
    <row r="966" ht="15.75" customHeight="1" s="136"/>
    <row r="967" ht="15.75" customHeight="1" s="136"/>
    <row r="968" ht="15.75" customHeight="1" s="136"/>
  </sheetData>
  <mergeCells count="1">
    <mergeCell ref="A1:G1"/>
  </mergeCells>
  <pageMargins left="0.75" right="0.75" top="1" bottom="1" header="0" footer="0"/>
  <pageSetup orientation="portrait" paperSize="9"/>
</worksheet>
</file>

<file path=xl/worksheets/sheet4.xml><?xml version="1.0" encoding="utf-8"?>
<worksheet xmlns="http://schemas.openxmlformats.org/spreadsheetml/2006/main">
  <sheetPr>
    <tabColor rgb="FFFF0000"/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ColWidth="14.43" defaultRowHeight="15" customHeight="1"/>
  <cols>
    <col width="20" customWidth="1" style="136" min="1" max="1"/>
    <col width="14" customWidth="1" style="136" min="2" max="2"/>
    <col width="20" customWidth="1" style="136" min="3" max="3"/>
    <col width="14" customWidth="1" style="136" min="4" max="4"/>
    <col width="45" customWidth="1" style="136" min="5" max="6"/>
    <col width="8.710000000000001" customWidth="1" style="136" min="7" max="27"/>
  </cols>
  <sheetData>
    <row r="1">
      <c r="A1" s="125" t="inlineStr">
        <is>
          <t>Revenue Source</t>
        </is>
      </c>
      <c r="B1" s="125" t="inlineStr">
        <is>
          <t>Payment Terms</t>
        </is>
      </c>
      <c r="C1" s="125" t="inlineStr">
        <is>
          <t>Typical Pay Day</t>
        </is>
      </c>
      <c r="D1" s="125" t="inlineStr">
        <is>
          <t>Min Threshold</t>
        </is>
      </c>
      <c r="E1" s="125" t="inlineStr">
        <is>
          <t>Contact/Notes</t>
        </is>
      </c>
      <c r="F1" s="126" t="inlineStr">
        <is>
          <t>Who gets paid</t>
        </is>
      </c>
    </row>
    <row r="2">
      <c r="A2" s="127" t="inlineStr">
        <is>
          <t>YouTube AdSense</t>
        </is>
      </c>
      <c r="B2" s="129" t="inlineStr">
        <is>
          <t>NET 25</t>
        </is>
      </c>
      <c r="C2" s="129" t="inlineStr">
        <is>
          <t>21st-26th of month</t>
        </is>
      </c>
      <c r="D2" s="129" t="inlineStr">
        <is>
          <t>$100</t>
        </is>
      </c>
      <c r="E2" s="129" t="inlineStr">
        <is>
          <t>payments.google.com - Richard's account</t>
        </is>
      </c>
      <c r="F2" s="131" t="inlineStr">
        <is>
          <t>RTS Directly</t>
        </is>
      </c>
    </row>
    <row r="3">
      <c r="A3" s="127" t="inlineStr">
        <is>
          <t>Culture Genesis</t>
        </is>
      </c>
      <c r="B3" s="129" t="inlineStr">
        <is>
          <t>NET 45</t>
        </is>
      </c>
      <c r="C3" s="129" t="inlineStr">
        <is>
          <t>30th of month</t>
        </is>
      </c>
      <c r="D3" s="129" t="inlineStr">
        <is>
          <t>N/A</t>
        </is>
      </c>
      <c r="E3" s="129" t="inlineStr">
        <is>
          <t>Direct sold - check contract for terms</t>
        </is>
      </c>
      <c r="F3" s="131" t="inlineStr">
        <is>
          <t>RTS Directly</t>
        </is>
      </c>
    </row>
    <row r="4">
      <c r="A4" s="127" t="inlineStr">
        <is>
          <t>Acast Audio</t>
        </is>
      </c>
      <c r="B4" s="129" t="inlineStr">
        <is>
          <t>NET 30-45</t>
        </is>
      </c>
      <c r="C4" s="129" t="inlineStr">
        <is>
          <t>End of month</t>
        </is>
      </c>
      <c r="D4" s="129" t="inlineStr">
        <is>
          <t>$50</t>
        </is>
      </c>
      <c r="E4" s="129" t="inlineStr">
        <is>
          <t>acast.com dashboard - verify payment method</t>
        </is>
      </c>
      <c r="F4" s="131" t="inlineStr">
        <is>
          <t>RDM; RTS Reimbursed</t>
        </is>
      </c>
    </row>
    <row r="5">
      <c r="A5" s="127" t="inlineStr">
        <is>
          <t>Other/Sponsorships</t>
        </is>
      </c>
      <c r="B5" s="129" t="inlineStr">
        <is>
          <t>Varies</t>
        </is>
      </c>
      <c r="C5" s="129" t="inlineStr">
        <is>
          <t>Per contract</t>
        </is>
      </c>
      <c r="D5" s="129" t="inlineStr">
        <is>
          <t>N/A</t>
        </is>
      </c>
      <c r="E5" s="129" t="inlineStr">
        <is>
          <t>Track individually per deal</t>
        </is>
      </c>
      <c r="F5" s="131" t="n"/>
    </row>
    <row r="6">
      <c r="A6" s="132" t="inlineStr">
        <is>
          <t>Backyad Ventures</t>
        </is>
      </c>
      <c r="B6" s="132" t="inlineStr">
        <is>
          <t>30-90 net</t>
        </is>
      </c>
      <c r="C6" s="132" t="inlineStr">
        <is>
          <t>Contact: Zach + John &amp; Kavan</t>
        </is>
      </c>
      <c r="E6" s="132" t="inlineStr">
        <is>
          <t>15th of every month will get paid, lump sum, review airtable for details</t>
        </is>
      </c>
    </row>
    <row r="7">
      <c r="A7" s="132" t="inlineStr">
        <is>
          <t>Meta/Threads</t>
        </is>
      </c>
      <c r="B7" s="133" t="inlineStr">
        <is>
          <t>TBD</t>
        </is>
      </c>
    </row>
    <row r="8">
      <c r="A8" s="132" t="inlineStr">
        <is>
          <t>Happy Jewelers</t>
        </is>
      </c>
      <c r="B8" s="133" t="inlineStr">
        <is>
          <t>TBD</t>
        </is>
      </c>
    </row>
    <row r="9">
      <c r="A9" s="132" t="inlineStr">
        <is>
          <t>Uptides</t>
        </is>
      </c>
      <c r="B9" s="133" t="inlineStr">
        <is>
          <t>TBD</t>
        </is>
      </c>
    </row>
    <row r="12">
      <c r="A12" s="132" t="inlineStr">
        <is>
          <t>RDM gets paid from Acast once/month.</t>
        </is>
      </c>
    </row>
    <row r="21" ht="15.75" customHeight="1" s="136"/>
    <row r="22" ht="15.75" customHeight="1" s="136"/>
    <row r="23" ht="15.75" customHeight="1" s="136"/>
    <row r="24" ht="15.75" customHeight="1" s="136"/>
    <row r="25" ht="15.75" customHeight="1" s="136"/>
    <row r="26" ht="15.75" customHeight="1" s="136"/>
    <row r="27" ht="15.75" customHeight="1" s="136"/>
    <row r="28" ht="15.75" customHeight="1" s="136"/>
    <row r="29" ht="15.75" customHeight="1" s="136"/>
    <row r="30" ht="15.75" customHeight="1" s="136"/>
    <row r="31" ht="15.75" customHeight="1" s="136"/>
    <row r="32" ht="15.75" customHeight="1" s="136"/>
    <row r="33" ht="15.75" customHeight="1" s="136"/>
    <row r="34" ht="15.75" customHeight="1" s="136"/>
    <row r="35" ht="15.75" customHeight="1" s="136"/>
    <row r="36" ht="15.75" customHeight="1" s="136"/>
    <row r="37" ht="15.75" customHeight="1" s="136"/>
    <row r="38" ht="15.75" customHeight="1" s="136"/>
    <row r="39" ht="15.75" customHeight="1" s="136"/>
    <row r="40" ht="15.75" customHeight="1" s="136"/>
    <row r="41" ht="15.75" customHeight="1" s="136"/>
    <row r="42" ht="15.75" customHeight="1" s="136"/>
    <row r="43" ht="15.75" customHeight="1" s="136"/>
    <row r="44" ht="15.75" customHeight="1" s="136"/>
    <row r="45" ht="15.75" customHeight="1" s="136"/>
    <row r="46" ht="15.75" customHeight="1" s="136"/>
    <row r="47" ht="15.75" customHeight="1" s="136"/>
    <row r="48" ht="15.75" customHeight="1" s="136"/>
    <row r="49" ht="15.75" customHeight="1" s="136"/>
    <row r="50" ht="15.75" customHeight="1" s="136"/>
    <row r="51" ht="15.75" customHeight="1" s="136"/>
    <row r="52" ht="15.75" customHeight="1" s="136"/>
    <row r="53" ht="15.75" customHeight="1" s="136"/>
    <row r="54" ht="15.75" customHeight="1" s="136"/>
    <row r="55" ht="15.75" customHeight="1" s="136"/>
    <row r="56" ht="15.75" customHeight="1" s="136"/>
    <row r="57" ht="15.75" customHeight="1" s="136"/>
    <row r="58" ht="15.75" customHeight="1" s="136"/>
    <row r="59" ht="15.75" customHeight="1" s="136"/>
    <row r="60" ht="15.75" customHeight="1" s="136"/>
    <row r="61" ht="15.75" customHeight="1" s="136"/>
    <row r="62" ht="15.75" customHeight="1" s="136"/>
    <row r="63" ht="15.75" customHeight="1" s="136"/>
    <row r="64" ht="15.75" customHeight="1" s="136"/>
    <row r="65" ht="15.75" customHeight="1" s="136"/>
    <row r="66" ht="15.75" customHeight="1" s="136"/>
    <row r="67" ht="15.75" customHeight="1" s="136"/>
    <row r="68" ht="15.75" customHeight="1" s="136"/>
    <row r="69" ht="15.75" customHeight="1" s="136"/>
    <row r="70" ht="15.75" customHeight="1" s="136"/>
    <row r="71" ht="15.75" customHeight="1" s="136"/>
    <row r="72" ht="15.75" customHeight="1" s="136"/>
    <row r="73" ht="15.75" customHeight="1" s="136"/>
    <row r="74" ht="15.75" customHeight="1" s="136"/>
    <row r="75" ht="15.75" customHeight="1" s="136"/>
    <row r="76" ht="15.75" customHeight="1" s="136"/>
    <row r="77" ht="15.75" customHeight="1" s="136"/>
    <row r="78" ht="15.75" customHeight="1" s="136"/>
    <row r="79" ht="15.75" customHeight="1" s="136"/>
    <row r="80" ht="15.75" customHeight="1" s="136"/>
    <row r="81" ht="15.75" customHeight="1" s="136"/>
    <row r="82" ht="15.75" customHeight="1" s="136"/>
    <row r="83" ht="15.75" customHeight="1" s="136"/>
    <row r="84" ht="15.75" customHeight="1" s="136"/>
    <row r="85" ht="15.75" customHeight="1" s="136"/>
    <row r="86" ht="15.75" customHeight="1" s="136"/>
    <row r="87" ht="15.75" customHeight="1" s="136"/>
    <row r="88" ht="15.75" customHeight="1" s="136"/>
    <row r="89" ht="15.75" customHeight="1" s="136"/>
    <row r="90" ht="15.75" customHeight="1" s="136"/>
    <row r="91" ht="15.75" customHeight="1" s="136"/>
    <row r="92" ht="15.75" customHeight="1" s="136"/>
    <row r="93" ht="15.75" customHeight="1" s="136"/>
    <row r="94" ht="15.75" customHeight="1" s="136"/>
    <row r="95" ht="15.75" customHeight="1" s="136"/>
    <row r="96" ht="15.75" customHeight="1" s="136"/>
    <row r="97" ht="15.75" customHeight="1" s="136"/>
    <row r="98" ht="15.75" customHeight="1" s="136"/>
    <row r="99" ht="15.75" customHeight="1" s="136"/>
    <row r="100" ht="15.75" customHeight="1" s="136"/>
    <row r="101" ht="15.75" customHeight="1" s="136"/>
    <row r="102" ht="15.75" customHeight="1" s="136"/>
    <row r="103" ht="15.75" customHeight="1" s="136"/>
    <row r="104" ht="15.75" customHeight="1" s="136"/>
    <row r="105" ht="15.75" customHeight="1" s="136"/>
    <row r="106" ht="15.75" customHeight="1" s="136"/>
    <row r="107" ht="15.75" customHeight="1" s="136"/>
    <row r="108" ht="15.75" customHeight="1" s="136"/>
    <row r="109" ht="15.75" customHeight="1" s="136"/>
    <row r="110" ht="15.75" customHeight="1" s="136"/>
    <row r="111" ht="15.75" customHeight="1" s="136"/>
    <row r="112" ht="15.75" customHeight="1" s="136"/>
    <row r="113" ht="15.75" customHeight="1" s="136"/>
    <row r="114" ht="15.75" customHeight="1" s="136"/>
    <row r="115" ht="15.75" customHeight="1" s="136"/>
    <row r="116" ht="15.75" customHeight="1" s="136"/>
    <row r="117" ht="15.75" customHeight="1" s="136"/>
    <row r="118" ht="15.75" customHeight="1" s="136"/>
    <row r="119" ht="15.75" customHeight="1" s="136"/>
    <row r="120" ht="15.75" customHeight="1" s="136"/>
    <row r="121" ht="15.75" customHeight="1" s="136"/>
    <row r="122" ht="15.75" customHeight="1" s="136"/>
    <row r="123" ht="15.75" customHeight="1" s="136"/>
    <row r="124" ht="15.75" customHeight="1" s="136"/>
    <row r="125" ht="15.75" customHeight="1" s="136"/>
    <row r="126" ht="15.75" customHeight="1" s="136"/>
    <row r="127" ht="15.75" customHeight="1" s="136"/>
    <row r="128" ht="15.75" customHeight="1" s="136"/>
    <row r="129" ht="15.75" customHeight="1" s="136"/>
    <row r="130" ht="15.75" customHeight="1" s="136"/>
    <row r="131" ht="15.75" customHeight="1" s="136"/>
    <row r="132" ht="15.75" customHeight="1" s="136"/>
    <row r="133" ht="15.75" customHeight="1" s="136"/>
    <row r="134" ht="15.75" customHeight="1" s="136"/>
    <row r="135" ht="15.75" customHeight="1" s="136"/>
    <row r="136" ht="15.75" customHeight="1" s="136"/>
    <row r="137" ht="15.75" customHeight="1" s="136"/>
    <row r="138" ht="15.75" customHeight="1" s="136"/>
    <row r="139" ht="15.75" customHeight="1" s="136"/>
    <row r="140" ht="15.75" customHeight="1" s="136"/>
    <row r="141" ht="15.75" customHeight="1" s="136"/>
    <row r="142" ht="15.75" customHeight="1" s="136"/>
    <row r="143" ht="15.75" customHeight="1" s="136"/>
    <row r="144" ht="15.75" customHeight="1" s="136"/>
    <row r="145" ht="15.75" customHeight="1" s="136"/>
    <row r="146" ht="15.75" customHeight="1" s="136"/>
    <row r="147" ht="15.75" customHeight="1" s="136"/>
    <row r="148" ht="15.75" customHeight="1" s="136"/>
    <row r="149" ht="15.75" customHeight="1" s="136"/>
    <row r="150" ht="15.75" customHeight="1" s="136"/>
    <row r="151" ht="15.75" customHeight="1" s="136"/>
    <row r="152" ht="15.75" customHeight="1" s="136"/>
    <row r="153" ht="15.75" customHeight="1" s="136"/>
    <row r="154" ht="15.75" customHeight="1" s="136"/>
    <row r="155" ht="15.75" customHeight="1" s="136"/>
    <row r="156" ht="15.75" customHeight="1" s="136"/>
    <row r="157" ht="15.75" customHeight="1" s="136"/>
    <row r="158" ht="15.75" customHeight="1" s="136"/>
    <row r="159" ht="15.75" customHeight="1" s="136"/>
    <row r="160" ht="15.75" customHeight="1" s="136"/>
    <row r="161" ht="15.75" customHeight="1" s="136"/>
    <row r="162" ht="15.75" customHeight="1" s="136"/>
    <row r="163" ht="15.75" customHeight="1" s="136"/>
    <row r="164" ht="15.75" customHeight="1" s="136"/>
    <row r="165" ht="15.75" customHeight="1" s="136"/>
    <row r="166" ht="15.75" customHeight="1" s="136"/>
    <row r="167" ht="15.75" customHeight="1" s="136"/>
    <row r="168" ht="15.75" customHeight="1" s="136"/>
    <row r="169" ht="15.75" customHeight="1" s="136"/>
    <row r="170" ht="15.75" customHeight="1" s="136"/>
    <row r="171" ht="15.75" customHeight="1" s="136"/>
    <row r="172" ht="15.75" customHeight="1" s="136"/>
    <row r="173" ht="15.75" customHeight="1" s="136"/>
    <row r="174" ht="15.75" customHeight="1" s="136"/>
    <row r="175" ht="15.75" customHeight="1" s="136"/>
    <row r="176" ht="15.75" customHeight="1" s="136"/>
    <row r="177" ht="15.75" customHeight="1" s="136"/>
    <row r="178" ht="15.75" customHeight="1" s="136"/>
    <row r="179" ht="15.75" customHeight="1" s="136"/>
    <row r="180" ht="15.75" customHeight="1" s="136"/>
    <row r="181" ht="15.75" customHeight="1" s="136"/>
    <row r="182" ht="15.75" customHeight="1" s="136"/>
    <row r="183" ht="15.75" customHeight="1" s="136"/>
    <row r="184" ht="15.75" customHeight="1" s="136"/>
    <row r="185" ht="15.75" customHeight="1" s="136"/>
    <row r="186" ht="15.75" customHeight="1" s="136"/>
    <row r="187" ht="15.75" customHeight="1" s="136"/>
    <row r="188" ht="15.75" customHeight="1" s="136"/>
    <row r="189" ht="15.75" customHeight="1" s="136"/>
    <row r="190" ht="15.75" customHeight="1" s="136"/>
    <row r="191" ht="15.75" customHeight="1" s="136"/>
    <row r="192" ht="15.75" customHeight="1" s="136"/>
    <row r="193" ht="15.75" customHeight="1" s="136"/>
    <row r="194" ht="15.75" customHeight="1" s="136"/>
    <row r="195" ht="15.75" customHeight="1" s="136"/>
    <row r="196" ht="15.75" customHeight="1" s="136"/>
    <row r="197" ht="15.75" customHeight="1" s="136"/>
    <row r="198" ht="15.75" customHeight="1" s="136"/>
    <row r="199" ht="15.75" customHeight="1" s="136"/>
    <row r="200" ht="15.75" customHeight="1" s="136"/>
    <row r="201" ht="15.75" customHeight="1" s="136"/>
    <row r="202" ht="15.75" customHeight="1" s="136"/>
    <row r="203" ht="15.75" customHeight="1" s="136"/>
    <row r="204" ht="15.75" customHeight="1" s="136"/>
    <row r="205" ht="15.75" customHeight="1" s="136"/>
    <row r="206" ht="15.75" customHeight="1" s="136"/>
    <row r="207" ht="15.75" customHeight="1" s="136"/>
    <row r="208" ht="15.75" customHeight="1" s="136"/>
    <row r="209" ht="15.75" customHeight="1" s="136"/>
    <row r="210" ht="15.75" customHeight="1" s="136"/>
    <row r="211" ht="15.75" customHeight="1" s="136"/>
    <row r="212" ht="15.75" customHeight="1" s="136"/>
    <row r="213" ht="15.75" customHeight="1" s="136"/>
    <row r="214" ht="15.75" customHeight="1" s="136"/>
    <row r="215" ht="15.75" customHeight="1" s="136"/>
    <row r="216" ht="15.75" customHeight="1" s="136"/>
    <row r="217" ht="15.75" customHeight="1" s="136"/>
    <row r="218" ht="15.75" customHeight="1" s="136"/>
    <row r="219" ht="15.75" customHeight="1" s="136"/>
    <row r="220" ht="15.75" customHeight="1" s="136"/>
    <row r="221" ht="15.75" customHeight="1" s="136"/>
    <row r="222" ht="15.75" customHeight="1" s="136"/>
    <row r="223" ht="15.75" customHeight="1" s="136"/>
    <row r="224" ht="15.75" customHeight="1" s="136"/>
    <row r="225" ht="15.75" customHeight="1" s="136"/>
    <row r="226" ht="15.75" customHeight="1" s="136"/>
    <row r="227" ht="15.75" customHeight="1" s="136"/>
    <row r="228" ht="15.75" customHeight="1" s="136"/>
    <row r="229" ht="15.75" customHeight="1" s="136"/>
    <row r="230" ht="15.75" customHeight="1" s="136"/>
    <row r="231" ht="15.75" customHeight="1" s="136"/>
    <row r="232" ht="15.75" customHeight="1" s="136"/>
    <row r="233" ht="15.75" customHeight="1" s="136"/>
    <row r="234" ht="15.75" customHeight="1" s="136"/>
    <row r="235" ht="15.75" customHeight="1" s="136"/>
    <row r="236" ht="15.75" customHeight="1" s="136"/>
    <row r="237" ht="15.75" customHeight="1" s="136"/>
    <row r="238" ht="15.75" customHeight="1" s="136"/>
    <row r="239" ht="15.75" customHeight="1" s="136"/>
    <row r="240" ht="15.75" customHeight="1" s="136"/>
    <row r="241" ht="15.75" customHeight="1" s="136"/>
    <row r="242" ht="15.75" customHeight="1" s="136"/>
    <row r="243" ht="15.75" customHeight="1" s="136"/>
    <row r="244" ht="15.75" customHeight="1" s="136"/>
    <row r="245" ht="15.75" customHeight="1" s="136"/>
    <row r="246" ht="15.75" customHeight="1" s="136"/>
    <row r="247" ht="15.75" customHeight="1" s="136"/>
    <row r="248" ht="15.75" customHeight="1" s="136"/>
    <row r="249" ht="15.75" customHeight="1" s="136"/>
    <row r="250" ht="15.75" customHeight="1" s="136"/>
    <row r="251" ht="15.75" customHeight="1" s="136"/>
    <row r="252" ht="15.75" customHeight="1" s="136"/>
    <row r="253" ht="15.75" customHeight="1" s="136"/>
    <row r="254" ht="15.75" customHeight="1" s="136"/>
    <row r="255" ht="15.75" customHeight="1" s="136"/>
    <row r="256" ht="15.75" customHeight="1" s="136"/>
    <row r="257" ht="15.75" customHeight="1" s="136"/>
    <row r="258" ht="15.75" customHeight="1" s="136"/>
    <row r="259" ht="15.75" customHeight="1" s="136"/>
    <row r="260" ht="15.75" customHeight="1" s="136"/>
    <row r="261" ht="15.75" customHeight="1" s="136"/>
    <row r="262" ht="15.75" customHeight="1" s="136"/>
    <row r="263" ht="15.75" customHeight="1" s="136"/>
    <row r="264" ht="15.75" customHeight="1" s="136"/>
    <row r="265" ht="15.75" customHeight="1" s="136"/>
    <row r="266" ht="15.75" customHeight="1" s="136"/>
    <row r="267" ht="15.75" customHeight="1" s="136"/>
    <row r="268" ht="15.75" customHeight="1" s="136"/>
    <row r="269" ht="15.75" customHeight="1" s="136"/>
    <row r="270" ht="15.75" customHeight="1" s="136"/>
    <row r="271" ht="15.75" customHeight="1" s="136"/>
    <row r="272" ht="15.75" customHeight="1" s="136"/>
    <row r="273" ht="15.75" customHeight="1" s="136"/>
    <row r="274" ht="15.75" customHeight="1" s="136"/>
    <row r="275" ht="15.75" customHeight="1" s="136"/>
    <row r="276" ht="15.75" customHeight="1" s="136"/>
    <row r="277" ht="15.75" customHeight="1" s="136"/>
    <row r="278" ht="15.75" customHeight="1" s="136"/>
    <row r="279" ht="15.75" customHeight="1" s="136"/>
    <row r="280" ht="15.75" customHeight="1" s="136"/>
    <row r="281" ht="15.75" customHeight="1" s="136"/>
    <row r="282" ht="15.75" customHeight="1" s="136"/>
    <row r="283" ht="15.75" customHeight="1" s="136"/>
    <row r="284" ht="15.75" customHeight="1" s="136"/>
    <row r="285" ht="15.75" customHeight="1" s="136"/>
    <row r="286" ht="15.75" customHeight="1" s="136"/>
    <row r="287" ht="15.75" customHeight="1" s="136"/>
    <row r="288" ht="15.75" customHeight="1" s="136"/>
    <row r="289" ht="15.75" customHeight="1" s="136"/>
    <row r="290" ht="15.75" customHeight="1" s="136"/>
    <row r="291" ht="15.75" customHeight="1" s="136"/>
    <row r="292" ht="15.75" customHeight="1" s="136"/>
    <row r="293" ht="15.75" customHeight="1" s="136"/>
    <row r="294" ht="15.75" customHeight="1" s="136"/>
    <row r="295" ht="15.75" customHeight="1" s="136"/>
    <row r="296" ht="15.75" customHeight="1" s="136"/>
    <row r="297" ht="15.75" customHeight="1" s="136"/>
    <row r="298" ht="15.75" customHeight="1" s="136"/>
    <row r="299" ht="15.75" customHeight="1" s="136"/>
    <row r="300" ht="15.75" customHeight="1" s="136"/>
    <row r="301" ht="15.75" customHeight="1" s="136"/>
    <row r="302" ht="15.75" customHeight="1" s="136"/>
    <row r="303" ht="15.75" customHeight="1" s="136"/>
    <row r="304" ht="15.75" customHeight="1" s="136"/>
    <row r="305" ht="15.75" customHeight="1" s="136"/>
    <row r="306" ht="15.75" customHeight="1" s="136"/>
    <row r="307" ht="15.75" customHeight="1" s="136"/>
    <row r="308" ht="15.75" customHeight="1" s="136"/>
    <row r="309" ht="15.75" customHeight="1" s="136"/>
    <row r="310" ht="15.75" customHeight="1" s="136"/>
    <row r="311" ht="15.75" customHeight="1" s="136"/>
    <row r="312" ht="15.75" customHeight="1" s="136"/>
    <row r="313" ht="15.75" customHeight="1" s="136"/>
    <row r="314" ht="15.75" customHeight="1" s="136"/>
    <row r="315" ht="15.75" customHeight="1" s="136"/>
    <row r="316" ht="15.75" customHeight="1" s="136"/>
    <row r="317" ht="15.75" customHeight="1" s="136"/>
    <row r="318" ht="15.75" customHeight="1" s="136"/>
    <row r="319" ht="15.75" customHeight="1" s="136"/>
    <row r="320" ht="15.75" customHeight="1" s="136"/>
    <row r="321" ht="15.75" customHeight="1" s="136"/>
    <row r="322" ht="15.75" customHeight="1" s="136"/>
    <row r="323" ht="15.75" customHeight="1" s="136"/>
    <row r="324" ht="15.75" customHeight="1" s="136"/>
    <row r="325" ht="15.75" customHeight="1" s="136"/>
    <row r="326" ht="15.75" customHeight="1" s="136"/>
    <row r="327" ht="15.75" customHeight="1" s="136"/>
    <row r="328" ht="15.75" customHeight="1" s="136"/>
    <row r="329" ht="15.75" customHeight="1" s="136"/>
    <row r="330" ht="15.75" customHeight="1" s="136"/>
    <row r="331" ht="15.75" customHeight="1" s="136"/>
    <row r="332" ht="15.75" customHeight="1" s="136"/>
    <row r="333" ht="15.75" customHeight="1" s="136"/>
    <row r="334" ht="15.75" customHeight="1" s="136"/>
    <row r="335" ht="15.75" customHeight="1" s="136"/>
    <row r="336" ht="15.75" customHeight="1" s="136"/>
    <row r="337" ht="15.75" customHeight="1" s="136"/>
    <row r="338" ht="15.75" customHeight="1" s="136"/>
    <row r="339" ht="15.75" customHeight="1" s="136"/>
    <row r="340" ht="15.75" customHeight="1" s="136"/>
    <row r="341" ht="15.75" customHeight="1" s="136"/>
    <row r="342" ht="15.75" customHeight="1" s="136"/>
    <row r="343" ht="15.75" customHeight="1" s="136"/>
    <row r="344" ht="15.75" customHeight="1" s="136"/>
    <row r="345" ht="15.75" customHeight="1" s="136"/>
    <row r="346" ht="15.75" customHeight="1" s="136"/>
    <row r="347" ht="15.75" customHeight="1" s="136"/>
    <row r="348" ht="15.75" customHeight="1" s="136"/>
    <row r="349" ht="15.75" customHeight="1" s="136"/>
    <row r="350" ht="15.75" customHeight="1" s="136"/>
    <row r="351" ht="15.75" customHeight="1" s="136"/>
    <row r="352" ht="15.75" customHeight="1" s="136"/>
    <row r="353" ht="15.75" customHeight="1" s="136"/>
    <row r="354" ht="15.75" customHeight="1" s="136"/>
    <row r="355" ht="15.75" customHeight="1" s="136"/>
    <row r="356" ht="15.75" customHeight="1" s="136"/>
    <row r="357" ht="15.75" customHeight="1" s="136"/>
    <row r="358" ht="15.75" customHeight="1" s="136"/>
    <row r="359" ht="15.75" customHeight="1" s="136"/>
    <row r="360" ht="15.75" customHeight="1" s="136"/>
    <row r="361" ht="15.75" customHeight="1" s="136"/>
    <row r="362" ht="15.75" customHeight="1" s="136"/>
    <row r="363" ht="15.75" customHeight="1" s="136"/>
    <row r="364" ht="15.75" customHeight="1" s="136"/>
    <row r="365" ht="15.75" customHeight="1" s="136"/>
    <row r="366" ht="15.75" customHeight="1" s="136"/>
    <row r="367" ht="15.75" customHeight="1" s="136"/>
    <row r="368" ht="15.75" customHeight="1" s="136"/>
    <row r="369" ht="15.75" customHeight="1" s="136"/>
    <row r="370" ht="15.75" customHeight="1" s="136"/>
    <row r="371" ht="15.75" customHeight="1" s="136"/>
    <row r="372" ht="15.75" customHeight="1" s="136"/>
    <row r="373" ht="15.75" customHeight="1" s="136"/>
    <row r="374" ht="15.75" customHeight="1" s="136"/>
    <row r="375" ht="15.75" customHeight="1" s="136"/>
    <row r="376" ht="15.75" customHeight="1" s="136"/>
    <row r="377" ht="15.75" customHeight="1" s="136"/>
    <row r="378" ht="15.75" customHeight="1" s="136"/>
    <row r="379" ht="15.75" customHeight="1" s="136"/>
    <row r="380" ht="15.75" customHeight="1" s="136"/>
    <row r="381" ht="15.75" customHeight="1" s="136"/>
    <row r="382" ht="15.75" customHeight="1" s="136"/>
    <row r="383" ht="15.75" customHeight="1" s="136"/>
    <row r="384" ht="15.75" customHeight="1" s="136"/>
    <row r="385" ht="15.75" customHeight="1" s="136"/>
    <row r="386" ht="15.75" customHeight="1" s="136"/>
    <row r="387" ht="15.75" customHeight="1" s="136"/>
    <row r="388" ht="15.75" customHeight="1" s="136"/>
    <row r="389" ht="15.75" customHeight="1" s="136"/>
    <row r="390" ht="15.75" customHeight="1" s="136"/>
    <row r="391" ht="15.75" customHeight="1" s="136"/>
    <row r="392" ht="15.75" customHeight="1" s="136"/>
    <row r="393" ht="15.75" customHeight="1" s="136"/>
    <row r="394" ht="15.75" customHeight="1" s="136"/>
    <row r="395" ht="15.75" customHeight="1" s="136"/>
    <row r="396" ht="15.75" customHeight="1" s="136"/>
    <row r="397" ht="15.75" customHeight="1" s="136"/>
    <row r="398" ht="15.75" customHeight="1" s="136"/>
    <row r="399" ht="15.75" customHeight="1" s="136"/>
    <row r="400" ht="15.75" customHeight="1" s="136"/>
    <row r="401" ht="15.75" customHeight="1" s="136"/>
    <row r="402" ht="15.75" customHeight="1" s="136"/>
    <row r="403" ht="15.75" customHeight="1" s="136"/>
    <row r="404" ht="15.75" customHeight="1" s="136"/>
    <row r="405" ht="15.75" customHeight="1" s="136"/>
    <row r="406" ht="15.75" customHeight="1" s="136"/>
    <row r="407" ht="15.75" customHeight="1" s="136"/>
    <row r="408" ht="15.75" customHeight="1" s="136"/>
    <row r="409" ht="15.75" customHeight="1" s="136"/>
    <row r="410" ht="15.75" customHeight="1" s="136"/>
    <row r="411" ht="15.75" customHeight="1" s="136"/>
    <row r="412" ht="15.75" customHeight="1" s="136"/>
    <row r="413" ht="15.75" customHeight="1" s="136"/>
    <row r="414" ht="15.75" customHeight="1" s="136"/>
    <row r="415" ht="15.75" customHeight="1" s="136"/>
    <row r="416" ht="15.75" customHeight="1" s="136"/>
    <row r="417" ht="15.75" customHeight="1" s="136"/>
    <row r="418" ht="15.75" customHeight="1" s="136"/>
    <row r="419" ht="15.75" customHeight="1" s="136"/>
    <row r="420" ht="15.75" customHeight="1" s="136"/>
    <row r="421" ht="15.75" customHeight="1" s="136"/>
    <row r="422" ht="15.75" customHeight="1" s="136"/>
    <row r="423" ht="15.75" customHeight="1" s="136"/>
    <row r="424" ht="15.75" customHeight="1" s="136"/>
    <row r="425" ht="15.75" customHeight="1" s="136"/>
    <row r="426" ht="15.75" customHeight="1" s="136"/>
    <row r="427" ht="15.75" customHeight="1" s="136"/>
    <row r="428" ht="15.75" customHeight="1" s="136"/>
    <row r="429" ht="15.75" customHeight="1" s="136"/>
    <row r="430" ht="15.75" customHeight="1" s="136"/>
    <row r="431" ht="15.75" customHeight="1" s="136"/>
    <row r="432" ht="15.75" customHeight="1" s="136"/>
    <row r="433" ht="15.75" customHeight="1" s="136"/>
    <row r="434" ht="15.75" customHeight="1" s="136"/>
    <row r="435" ht="15.75" customHeight="1" s="136"/>
    <row r="436" ht="15.75" customHeight="1" s="136"/>
    <row r="437" ht="15.75" customHeight="1" s="136"/>
    <row r="438" ht="15.75" customHeight="1" s="136"/>
    <row r="439" ht="15.75" customHeight="1" s="136"/>
    <row r="440" ht="15.75" customHeight="1" s="136"/>
    <row r="441" ht="15.75" customHeight="1" s="136"/>
    <row r="442" ht="15.75" customHeight="1" s="136"/>
    <row r="443" ht="15.75" customHeight="1" s="136"/>
    <row r="444" ht="15.75" customHeight="1" s="136"/>
    <row r="445" ht="15.75" customHeight="1" s="136"/>
    <row r="446" ht="15.75" customHeight="1" s="136"/>
    <row r="447" ht="15.75" customHeight="1" s="136"/>
    <row r="448" ht="15.75" customHeight="1" s="136"/>
    <row r="449" ht="15.75" customHeight="1" s="136"/>
    <row r="450" ht="15.75" customHeight="1" s="136"/>
    <row r="451" ht="15.75" customHeight="1" s="136"/>
    <row r="452" ht="15.75" customHeight="1" s="136"/>
    <row r="453" ht="15.75" customHeight="1" s="136"/>
    <row r="454" ht="15.75" customHeight="1" s="136"/>
    <row r="455" ht="15.75" customHeight="1" s="136"/>
    <row r="456" ht="15.75" customHeight="1" s="136"/>
    <row r="457" ht="15.75" customHeight="1" s="136"/>
    <row r="458" ht="15.75" customHeight="1" s="136"/>
    <row r="459" ht="15.75" customHeight="1" s="136"/>
    <row r="460" ht="15.75" customHeight="1" s="136"/>
    <row r="461" ht="15.75" customHeight="1" s="136"/>
    <row r="462" ht="15.75" customHeight="1" s="136"/>
    <row r="463" ht="15.75" customHeight="1" s="136"/>
    <row r="464" ht="15.75" customHeight="1" s="136"/>
    <row r="465" ht="15.75" customHeight="1" s="136"/>
    <row r="466" ht="15.75" customHeight="1" s="136"/>
    <row r="467" ht="15.75" customHeight="1" s="136"/>
    <row r="468" ht="15.75" customHeight="1" s="136"/>
    <row r="469" ht="15.75" customHeight="1" s="136"/>
    <row r="470" ht="15.75" customHeight="1" s="136"/>
    <row r="471" ht="15.75" customHeight="1" s="136"/>
    <row r="472" ht="15.75" customHeight="1" s="136"/>
    <row r="473" ht="15.75" customHeight="1" s="136"/>
    <row r="474" ht="15.75" customHeight="1" s="136"/>
    <row r="475" ht="15.75" customHeight="1" s="136"/>
    <row r="476" ht="15.75" customHeight="1" s="136"/>
    <row r="477" ht="15.75" customHeight="1" s="136"/>
    <row r="478" ht="15.75" customHeight="1" s="136"/>
    <row r="479" ht="15.75" customHeight="1" s="136"/>
    <row r="480" ht="15.75" customHeight="1" s="136"/>
    <row r="481" ht="15.75" customHeight="1" s="136"/>
    <row r="482" ht="15.75" customHeight="1" s="136"/>
    <row r="483" ht="15.75" customHeight="1" s="136"/>
    <row r="484" ht="15.75" customHeight="1" s="136"/>
    <row r="485" ht="15.75" customHeight="1" s="136"/>
    <row r="486" ht="15.75" customHeight="1" s="136"/>
    <row r="487" ht="15.75" customHeight="1" s="136"/>
    <row r="488" ht="15.75" customHeight="1" s="136"/>
    <row r="489" ht="15.75" customHeight="1" s="136"/>
    <row r="490" ht="15.75" customHeight="1" s="136"/>
    <row r="491" ht="15.75" customHeight="1" s="136"/>
    <row r="492" ht="15.75" customHeight="1" s="136"/>
    <row r="493" ht="15.75" customHeight="1" s="136"/>
    <row r="494" ht="15.75" customHeight="1" s="136"/>
    <row r="495" ht="15.75" customHeight="1" s="136"/>
    <row r="496" ht="15.75" customHeight="1" s="136"/>
    <row r="497" ht="15.75" customHeight="1" s="136"/>
    <row r="498" ht="15.75" customHeight="1" s="136"/>
    <row r="499" ht="15.75" customHeight="1" s="136"/>
    <row r="500" ht="15.75" customHeight="1" s="136"/>
    <row r="501" ht="15.75" customHeight="1" s="136"/>
    <row r="502" ht="15.75" customHeight="1" s="136"/>
    <row r="503" ht="15.75" customHeight="1" s="136"/>
    <row r="504" ht="15.75" customHeight="1" s="136"/>
    <row r="505" ht="15.75" customHeight="1" s="136"/>
    <row r="506" ht="15.75" customHeight="1" s="136"/>
    <row r="507" ht="15.75" customHeight="1" s="136"/>
    <row r="508" ht="15.75" customHeight="1" s="136"/>
    <row r="509" ht="15.75" customHeight="1" s="136"/>
    <row r="510" ht="15.75" customHeight="1" s="136"/>
    <row r="511" ht="15.75" customHeight="1" s="136"/>
    <row r="512" ht="15.75" customHeight="1" s="136"/>
    <row r="513" ht="15.75" customHeight="1" s="136"/>
    <row r="514" ht="15.75" customHeight="1" s="136"/>
    <row r="515" ht="15.75" customHeight="1" s="136"/>
    <row r="516" ht="15.75" customHeight="1" s="136"/>
    <row r="517" ht="15.75" customHeight="1" s="136"/>
    <row r="518" ht="15.75" customHeight="1" s="136"/>
    <row r="519" ht="15.75" customHeight="1" s="136"/>
    <row r="520" ht="15.75" customHeight="1" s="136"/>
    <row r="521" ht="15.75" customHeight="1" s="136"/>
    <row r="522" ht="15.75" customHeight="1" s="136"/>
    <row r="523" ht="15.75" customHeight="1" s="136"/>
    <row r="524" ht="15.75" customHeight="1" s="136"/>
    <row r="525" ht="15.75" customHeight="1" s="136"/>
    <row r="526" ht="15.75" customHeight="1" s="136"/>
    <row r="527" ht="15.75" customHeight="1" s="136"/>
    <row r="528" ht="15.75" customHeight="1" s="136"/>
    <row r="529" ht="15.75" customHeight="1" s="136"/>
    <row r="530" ht="15.75" customHeight="1" s="136"/>
    <row r="531" ht="15.75" customHeight="1" s="136"/>
    <row r="532" ht="15.75" customHeight="1" s="136"/>
    <row r="533" ht="15.75" customHeight="1" s="136"/>
    <row r="534" ht="15.75" customHeight="1" s="136"/>
    <row r="535" ht="15.75" customHeight="1" s="136"/>
    <row r="536" ht="15.75" customHeight="1" s="136"/>
    <row r="537" ht="15.75" customHeight="1" s="136"/>
    <row r="538" ht="15.75" customHeight="1" s="136"/>
    <row r="539" ht="15.75" customHeight="1" s="136"/>
    <row r="540" ht="15.75" customHeight="1" s="136"/>
    <row r="541" ht="15.75" customHeight="1" s="136"/>
    <row r="542" ht="15.75" customHeight="1" s="136"/>
    <row r="543" ht="15.75" customHeight="1" s="136"/>
    <row r="544" ht="15.75" customHeight="1" s="136"/>
    <row r="545" ht="15.75" customHeight="1" s="136"/>
    <row r="546" ht="15.75" customHeight="1" s="136"/>
    <row r="547" ht="15.75" customHeight="1" s="136"/>
    <row r="548" ht="15.75" customHeight="1" s="136"/>
    <row r="549" ht="15.75" customHeight="1" s="136"/>
    <row r="550" ht="15.75" customHeight="1" s="136"/>
    <row r="551" ht="15.75" customHeight="1" s="136"/>
    <row r="552" ht="15.75" customHeight="1" s="136"/>
    <row r="553" ht="15.75" customHeight="1" s="136"/>
    <row r="554" ht="15.75" customHeight="1" s="136"/>
    <row r="555" ht="15.75" customHeight="1" s="136"/>
    <row r="556" ht="15.75" customHeight="1" s="136"/>
    <row r="557" ht="15.75" customHeight="1" s="136"/>
    <row r="558" ht="15.75" customHeight="1" s="136"/>
    <row r="559" ht="15.75" customHeight="1" s="136"/>
    <row r="560" ht="15.75" customHeight="1" s="136"/>
    <row r="561" ht="15.75" customHeight="1" s="136"/>
    <row r="562" ht="15.75" customHeight="1" s="136"/>
    <row r="563" ht="15.75" customHeight="1" s="136"/>
    <row r="564" ht="15.75" customHeight="1" s="136"/>
    <row r="565" ht="15.75" customHeight="1" s="136"/>
    <row r="566" ht="15.75" customHeight="1" s="136"/>
    <row r="567" ht="15.75" customHeight="1" s="136"/>
    <row r="568" ht="15.75" customHeight="1" s="136"/>
    <row r="569" ht="15.75" customHeight="1" s="136"/>
    <row r="570" ht="15.75" customHeight="1" s="136"/>
    <row r="571" ht="15.75" customHeight="1" s="136"/>
    <row r="572" ht="15.75" customHeight="1" s="136"/>
    <row r="573" ht="15.75" customHeight="1" s="136"/>
    <row r="574" ht="15.75" customHeight="1" s="136"/>
    <row r="575" ht="15.75" customHeight="1" s="136"/>
    <row r="576" ht="15.75" customHeight="1" s="136"/>
    <row r="577" ht="15.75" customHeight="1" s="136"/>
    <row r="578" ht="15.75" customHeight="1" s="136"/>
    <row r="579" ht="15.75" customHeight="1" s="136"/>
    <row r="580" ht="15.75" customHeight="1" s="136"/>
    <row r="581" ht="15.75" customHeight="1" s="136"/>
    <row r="582" ht="15.75" customHeight="1" s="136"/>
    <row r="583" ht="15.75" customHeight="1" s="136"/>
    <row r="584" ht="15.75" customHeight="1" s="136"/>
    <row r="585" ht="15.75" customHeight="1" s="136"/>
    <row r="586" ht="15.75" customHeight="1" s="136"/>
    <row r="587" ht="15.75" customHeight="1" s="136"/>
    <row r="588" ht="15.75" customHeight="1" s="136"/>
    <row r="589" ht="15.75" customHeight="1" s="136"/>
    <row r="590" ht="15.75" customHeight="1" s="136"/>
    <row r="591" ht="15.75" customHeight="1" s="136"/>
    <row r="592" ht="15.75" customHeight="1" s="136"/>
    <row r="593" ht="15.75" customHeight="1" s="136"/>
    <row r="594" ht="15.75" customHeight="1" s="136"/>
    <row r="595" ht="15.75" customHeight="1" s="136"/>
    <row r="596" ht="15.75" customHeight="1" s="136"/>
    <row r="597" ht="15.75" customHeight="1" s="136"/>
    <row r="598" ht="15.75" customHeight="1" s="136"/>
    <row r="599" ht="15.75" customHeight="1" s="136"/>
    <row r="600" ht="15.75" customHeight="1" s="136"/>
    <row r="601" ht="15.75" customHeight="1" s="136"/>
    <row r="602" ht="15.75" customHeight="1" s="136"/>
    <row r="603" ht="15.75" customHeight="1" s="136"/>
    <row r="604" ht="15.75" customHeight="1" s="136"/>
    <row r="605" ht="15.75" customHeight="1" s="136"/>
    <row r="606" ht="15.75" customHeight="1" s="136"/>
    <row r="607" ht="15.75" customHeight="1" s="136"/>
    <row r="608" ht="15.75" customHeight="1" s="136"/>
    <row r="609" ht="15.75" customHeight="1" s="136"/>
    <row r="610" ht="15.75" customHeight="1" s="136"/>
    <row r="611" ht="15.75" customHeight="1" s="136"/>
    <row r="612" ht="15.75" customHeight="1" s="136"/>
    <row r="613" ht="15.75" customHeight="1" s="136"/>
    <row r="614" ht="15.75" customHeight="1" s="136"/>
    <row r="615" ht="15.75" customHeight="1" s="136"/>
    <row r="616" ht="15.75" customHeight="1" s="136"/>
    <row r="617" ht="15.75" customHeight="1" s="136"/>
    <row r="618" ht="15.75" customHeight="1" s="136"/>
    <row r="619" ht="15.75" customHeight="1" s="136"/>
    <row r="620" ht="15.75" customHeight="1" s="136"/>
    <row r="621" ht="15.75" customHeight="1" s="136"/>
    <row r="622" ht="15.75" customHeight="1" s="136"/>
    <row r="623" ht="15.75" customHeight="1" s="136"/>
    <row r="624" ht="15.75" customHeight="1" s="136"/>
    <row r="625" ht="15.75" customHeight="1" s="136"/>
    <row r="626" ht="15.75" customHeight="1" s="136"/>
    <row r="627" ht="15.75" customHeight="1" s="136"/>
    <row r="628" ht="15.75" customHeight="1" s="136"/>
    <row r="629" ht="15.75" customHeight="1" s="136"/>
    <row r="630" ht="15.75" customHeight="1" s="136"/>
    <row r="631" ht="15.75" customHeight="1" s="136"/>
    <row r="632" ht="15.75" customHeight="1" s="136"/>
    <row r="633" ht="15.75" customHeight="1" s="136"/>
    <row r="634" ht="15.75" customHeight="1" s="136"/>
    <row r="635" ht="15.75" customHeight="1" s="136"/>
    <row r="636" ht="15.75" customHeight="1" s="136"/>
    <row r="637" ht="15.75" customHeight="1" s="136"/>
    <row r="638" ht="15.75" customHeight="1" s="136"/>
    <row r="639" ht="15.75" customHeight="1" s="136"/>
    <row r="640" ht="15.75" customHeight="1" s="136"/>
    <row r="641" ht="15.75" customHeight="1" s="136"/>
    <row r="642" ht="15.75" customHeight="1" s="136"/>
    <row r="643" ht="15.75" customHeight="1" s="136"/>
    <row r="644" ht="15.75" customHeight="1" s="136"/>
    <row r="645" ht="15.75" customHeight="1" s="136"/>
    <row r="646" ht="15.75" customHeight="1" s="136"/>
    <row r="647" ht="15.75" customHeight="1" s="136"/>
    <row r="648" ht="15.75" customHeight="1" s="136"/>
    <row r="649" ht="15.75" customHeight="1" s="136"/>
    <row r="650" ht="15.75" customHeight="1" s="136"/>
    <row r="651" ht="15.75" customHeight="1" s="136"/>
    <row r="652" ht="15.75" customHeight="1" s="136"/>
    <row r="653" ht="15.75" customHeight="1" s="136"/>
    <row r="654" ht="15.75" customHeight="1" s="136"/>
    <row r="655" ht="15.75" customHeight="1" s="136"/>
    <row r="656" ht="15.75" customHeight="1" s="136"/>
    <row r="657" ht="15.75" customHeight="1" s="136"/>
    <row r="658" ht="15.75" customHeight="1" s="136"/>
    <row r="659" ht="15.75" customHeight="1" s="136"/>
    <row r="660" ht="15.75" customHeight="1" s="136"/>
    <row r="661" ht="15.75" customHeight="1" s="136"/>
    <row r="662" ht="15.75" customHeight="1" s="136"/>
    <row r="663" ht="15.75" customHeight="1" s="136"/>
    <row r="664" ht="15.75" customHeight="1" s="136"/>
    <row r="665" ht="15.75" customHeight="1" s="136"/>
    <row r="666" ht="15.75" customHeight="1" s="136"/>
    <row r="667" ht="15.75" customHeight="1" s="136"/>
    <row r="668" ht="15.75" customHeight="1" s="136"/>
    <row r="669" ht="15.75" customHeight="1" s="136"/>
    <row r="670" ht="15.75" customHeight="1" s="136"/>
    <row r="671" ht="15.75" customHeight="1" s="136"/>
    <row r="672" ht="15.75" customHeight="1" s="136"/>
    <row r="673" ht="15.75" customHeight="1" s="136"/>
    <row r="674" ht="15.75" customHeight="1" s="136"/>
    <row r="675" ht="15.75" customHeight="1" s="136"/>
    <row r="676" ht="15.75" customHeight="1" s="136"/>
    <row r="677" ht="15.75" customHeight="1" s="136"/>
    <row r="678" ht="15.75" customHeight="1" s="136"/>
    <row r="679" ht="15.75" customHeight="1" s="136"/>
    <row r="680" ht="15.75" customHeight="1" s="136"/>
    <row r="681" ht="15.75" customHeight="1" s="136"/>
    <row r="682" ht="15.75" customHeight="1" s="136"/>
    <row r="683" ht="15.75" customHeight="1" s="136"/>
    <row r="684" ht="15.75" customHeight="1" s="136"/>
    <row r="685" ht="15.75" customHeight="1" s="136"/>
    <row r="686" ht="15.75" customHeight="1" s="136"/>
    <row r="687" ht="15.75" customHeight="1" s="136"/>
    <row r="688" ht="15.75" customHeight="1" s="136"/>
    <row r="689" ht="15.75" customHeight="1" s="136"/>
    <row r="690" ht="15.75" customHeight="1" s="136"/>
    <row r="691" ht="15.75" customHeight="1" s="136"/>
    <row r="692" ht="15.75" customHeight="1" s="136"/>
    <row r="693" ht="15.75" customHeight="1" s="136"/>
    <row r="694" ht="15.75" customHeight="1" s="136"/>
    <row r="695" ht="15.75" customHeight="1" s="136"/>
    <row r="696" ht="15.75" customHeight="1" s="136"/>
    <row r="697" ht="15.75" customHeight="1" s="136"/>
    <row r="698" ht="15.75" customHeight="1" s="136"/>
    <row r="699" ht="15.75" customHeight="1" s="136"/>
    <row r="700" ht="15.75" customHeight="1" s="136"/>
    <row r="701" ht="15.75" customHeight="1" s="136"/>
    <row r="702" ht="15.75" customHeight="1" s="136"/>
    <row r="703" ht="15.75" customHeight="1" s="136"/>
    <row r="704" ht="15.75" customHeight="1" s="136"/>
    <row r="705" ht="15.75" customHeight="1" s="136"/>
    <row r="706" ht="15.75" customHeight="1" s="136"/>
    <row r="707" ht="15.75" customHeight="1" s="136"/>
    <row r="708" ht="15.75" customHeight="1" s="136"/>
    <row r="709" ht="15.75" customHeight="1" s="136"/>
    <row r="710" ht="15.75" customHeight="1" s="136"/>
    <row r="711" ht="15.75" customHeight="1" s="136"/>
    <row r="712" ht="15.75" customHeight="1" s="136"/>
    <row r="713" ht="15.75" customHeight="1" s="136"/>
    <row r="714" ht="15.75" customHeight="1" s="136"/>
    <row r="715" ht="15.75" customHeight="1" s="136"/>
    <row r="716" ht="15.75" customHeight="1" s="136"/>
    <row r="717" ht="15.75" customHeight="1" s="136"/>
    <row r="718" ht="15.75" customHeight="1" s="136"/>
    <row r="719" ht="15.75" customHeight="1" s="136"/>
    <row r="720" ht="15.75" customHeight="1" s="136"/>
    <row r="721" ht="15.75" customHeight="1" s="136"/>
    <row r="722" ht="15.75" customHeight="1" s="136"/>
    <row r="723" ht="15.75" customHeight="1" s="136"/>
    <row r="724" ht="15.75" customHeight="1" s="136"/>
    <row r="725" ht="15.75" customHeight="1" s="136"/>
    <row r="726" ht="15.75" customHeight="1" s="136"/>
    <row r="727" ht="15.75" customHeight="1" s="136"/>
    <row r="728" ht="15.75" customHeight="1" s="136"/>
    <row r="729" ht="15.75" customHeight="1" s="136"/>
    <row r="730" ht="15.75" customHeight="1" s="136"/>
    <row r="731" ht="15.75" customHeight="1" s="136"/>
    <row r="732" ht="15.75" customHeight="1" s="136"/>
    <row r="733" ht="15.75" customHeight="1" s="136"/>
    <row r="734" ht="15.75" customHeight="1" s="136"/>
    <row r="735" ht="15.75" customHeight="1" s="136"/>
    <row r="736" ht="15.75" customHeight="1" s="136"/>
    <row r="737" ht="15.75" customHeight="1" s="136"/>
    <row r="738" ht="15.75" customHeight="1" s="136"/>
    <row r="739" ht="15.75" customHeight="1" s="136"/>
    <row r="740" ht="15.75" customHeight="1" s="136"/>
    <row r="741" ht="15.75" customHeight="1" s="136"/>
    <row r="742" ht="15.75" customHeight="1" s="136"/>
    <row r="743" ht="15.75" customHeight="1" s="136"/>
    <row r="744" ht="15.75" customHeight="1" s="136"/>
    <row r="745" ht="15.75" customHeight="1" s="136"/>
    <row r="746" ht="15.75" customHeight="1" s="136"/>
    <row r="747" ht="15.75" customHeight="1" s="136"/>
    <row r="748" ht="15.75" customHeight="1" s="136"/>
    <row r="749" ht="15.75" customHeight="1" s="136"/>
    <row r="750" ht="15.75" customHeight="1" s="136"/>
    <row r="751" ht="15.75" customHeight="1" s="136"/>
    <row r="752" ht="15.75" customHeight="1" s="136"/>
    <row r="753" ht="15.75" customHeight="1" s="136"/>
    <row r="754" ht="15.75" customHeight="1" s="136"/>
    <row r="755" ht="15.75" customHeight="1" s="136"/>
    <row r="756" ht="15.75" customHeight="1" s="136"/>
    <row r="757" ht="15.75" customHeight="1" s="136"/>
    <row r="758" ht="15.75" customHeight="1" s="136"/>
    <row r="759" ht="15.75" customHeight="1" s="136"/>
    <row r="760" ht="15.75" customHeight="1" s="136"/>
    <row r="761" ht="15.75" customHeight="1" s="136"/>
    <row r="762" ht="15.75" customHeight="1" s="136"/>
    <row r="763" ht="15.75" customHeight="1" s="136"/>
    <row r="764" ht="15.75" customHeight="1" s="136"/>
    <row r="765" ht="15.75" customHeight="1" s="136"/>
    <row r="766" ht="15.75" customHeight="1" s="136"/>
    <row r="767" ht="15.75" customHeight="1" s="136"/>
    <row r="768" ht="15.75" customHeight="1" s="136"/>
    <row r="769" ht="15.75" customHeight="1" s="136"/>
    <row r="770" ht="15.75" customHeight="1" s="136"/>
    <row r="771" ht="15.75" customHeight="1" s="136"/>
    <row r="772" ht="15.75" customHeight="1" s="136"/>
    <row r="773" ht="15.75" customHeight="1" s="136"/>
    <row r="774" ht="15.75" customHeight="1" s="136"/>
    <row r="775" ht="15.75" customHeight="1" s="136"/>
    <row r="776" ht="15.75" customHeight="1" s="136"/>
    <row r="777" ht="15.75" customHeight="1" s="136"/>
    <row r="778" ht="15.75" customHeight="1" s="136"/>
    <row r="779" ht="15.75" customHeight="1" s="136"/>
    <row r="780" ht="15.75" customHeight="1" s="136"/>
    <row r="781" ht="15.75" customHeight="1" s="136"/>
    <row r="782" ht="15.75" customHeight="1" s="136"/>
    <row r="783" ht="15.75" customHeight="1" s="136"/>
    <row r="784" ht="15.75" customHeight="1" s="136"/>
    <row r="785" ht="15.75" customHeight="1" s="136"/>
    <row r="786" ht="15.75" customHeight="1" s="136"/>
    <row r="787" ht="15.75" customHeight="1" s="136"/>
    <row r="788" ht="15.75" customHeight="1" s="136"/>
    <row r="789" ht="15.75" customHeight="1" s="136"/>
    <row r="790" ht="15.75" customHeight="1" s="136"/>
    <row r="791" ht="15.75" customHeight="1" s="136"/>
    <row r="792" ht="15.75" customHeight="1" s="136"/>
    <row r="793" ht="15.75" customHeight="1" s="136"/>
    <row r="794" ht="15.75" customHeight="1" s="136"/>
    <row r="795" ht="15.75" customHeight="1" s="136"/>
    <row r="796" ht="15.75" customHeight="1" s="136"/>
    <row r="797" ht="15.75" customHeight="1" s="136"/>
    <row r="798" ht="15.75" customHeight="1" s="136"/>
    <row r="799" ht="15.75" customHeight="1" s="136"/>
    <row r="800" ht="15.75" customHeight="1" s="136"/>
    <row r="801" ht="15.75" customHeight="1" s="136"/>
    <row r="802" ht="15.75" customHeight="1" s="136"/>
    <row r="803" ht="15.75" customHeight="1" s="136"/>
    <row r="804" ht="15.75" customHeight="1" s="136"/>
    <row r="805" ht="15.75" customHeight="1" s="136"/>
    <row r="806" ht="15.75" customHeight="1" s="136"/>
    <row r="807" ht="15.75" customHeight="1" s="136"/>
    <row r="808" ht="15.75" customHeight="1" s="136"/>
    <row r="809" ht="15.75" customHeight="1" s="136"/>
    <row r="810" ht="15.75" customHeight="1" s="136"/>
    <row r="811" ht="15.75" customHeight="1" s="136"/>
    <row r="812" ht="15.75" customHeight="1" s="136"/>
    <row r="813" ht="15.75" customHeight="1" s="136"/>
    <row r="814" ht="15.75" customHeight="1" s="136"/>
    <row r="815" ht="15.75" customHeight="1" s="136"/>
    <row r="816" ht="15.75" customHeight="1" s="136"/>
    <row r="817" ht="15.75" customHeight="1" s="136"/>
    <row r="818" ht="15.75" customHeight="1" s="136"/>
    <row r="819" ht="15.75" customHeight="1" s="136"/>
    <row r="820" ht="15.75" customHeight="1" s="136"/>
    <row r="821" ht="15.75" customHeight="1" s="136"/>
    <row r="822" ht="15.75" customHeight="1" s="136"/>
    <row r="823" ht="15.75" customHeight="1" s="136"/>
    <row r="824" ht="15.75" customHeight="1" s="136"/>
    <row r="825" ht="15.75" customHeight="1" s="136"/>
    <row r="826" ht="15.75" customHeight="1" s="136"/>
    <row r="827" ht="15.75" customHeight="1" s="136"/>
    <row r="828" ht="15.75" customHeight="1" s="136"/>
    <row r="829" ht="15.75" customHeight="1" s="136"/>
    <row r="830" ht="15.75" customHeight="1" s="136"/>
    <row r="831" ht="15.75" customHeight="1" s="136"/>
    <row r="832" ht="15.75" customHeight="1" s="136"/>
    <row r="833" ht="15.75" customHeight="1" s="136"/>
    <row r="834" ht="15.75" customHeight="1" s="136"/>
    <row r="835" ht="15.75" customHeight="1" s="136"/>
    <row r="836" ht="15.75" customHeight="1" s="136"/>
    <row r="837" ht="15.75" customHeight="1" s="136"/>
    <row r="838" ht="15.75" customHeight="1" s="136"/>
    <row r="839" ht="15.75" customHeight="1" s="136"/>
    <row r="840" ht="15.75" customHeight="1" s="136"/>
    <row r="841" ht="15.75" customHeight="1" s="136"/>
    <row r="842" ht="15.75" customHeight="1" s="136"/>
    <row r="843" ht="15.75" customHeight="1" s="136"/>
    <row r="844" ht="15.75" customHeight="1" s="136"/>
    <row r="845" ht="15.75" customHeight="1" s="136"/>
    <row r="846" ht="15.75" customHeight="1" s="136"/>
    <row r="847" ht="15.75" customHeight="1" s="136"/>
    <row r="848" ht="15.75" customHeight="1" s="136"/>
    <row r="849" ht="15.75" customHeight="1" s="136"/>
    <row r="850" ht="15.75" customHeight="1" s="136"/>
    <row r="851" ht="15.75" customHeight="1" s="136"/>
    <row r="852" ht="15.75" customHeight="1" s="136"/>
    <row r="853" ht="15.75" customHeight="1" s="136"/>
    <row r="854" ht="15.75" customHeight="1" s="136"/>
    <row r="855" ht="15.75" customHeight="1" s="136"/>
    <row r="856" ht="15.75" customHeight="1" s="136"/>
    <row r="857" ht="15.75" customHeight="1" s="136"/>
    <row r="858" ht="15.75" customHeight="1" s="136"/>
    <row r="859" ht="15.75" customHeight="1" s="136"/>
    <row r="860" ht="15.75" customHeight="1" s="136"/>
    <row r="861" ht="15.75" customHeight="1" s="136"/>
    <row r="862" ht="15.75" customHeight="1" s="136"/>
    <row r="863" ht="15.75" customHeight="1" s="136"/>
    <row r="864" ht="15.75" customHeight="1" s="136"/>
    <row r="865" ht="15.75" customHeight="1" s="136"/>
    <row r="866" ht="15.75" customHeight="1" s="136"/>
    <row r="867" ht="15.75" customHeight="1" s="136"/>
    <row r="868" ht="15.75" customHeight="1" s="136"/>
    <row r="869" ht="15.75" customHeight="1" s="136"/>
    <row r="870" ht="15.75" customHeight="1" s="136"/>
    <row r="871" ht="15.75" customHeight="1" s="136"/>
    <row r="872" ht="15.75" customHeight="1" s="136"/>
    <row r="873" ht="15.75" customHeight="1" s="136"/>
    <row r="874" ht="15.75" customHeight="1" s="136"/>
    <row r="875" ht="15.75" customHeight="1" s="136"/>
    <row r="876" ht="15.75" customHeight="1" s="136"/>
    <row r="877" ht="15.75" customHeight="1" s="136"/>
    <row r="878" ht="15.75" customHeight="1" s="136"/>
    <row r="879" ht="15.75" customHeight="1" s="136"/>
    <row r="880" ht="15.75" customHeight="1" s="136"/>
    <row r="881" ht="15.75" customHeight="1" s="136"/>
    <row r="882" ht="15.75" customHeight="1" s="136"/>
    <row r="883" ht="15.75" customHeight="1" s="136"/>
    <row r="884" ht="15.75" customHeight="1" s="136"/>
    <row r="885" ht="15.75" customHeight="1" s="136"/>
    <row r="886" ht="15.75" customHeight="1" s="136"/>
    <row r="887" ht="15.75" customHeight="1" s="136"/>
    <row r="888" ht="15.75" customHeight="1" s="136"/>
    <row r="889" ht="15.75" customHeight="1" s="136"/>
    <row r="890" ht="15.75" customHeight="1" s="136"/>
    <row r="891" ht="15.75" customHeight="1" s="136"/>
    <row r="892" ht="15.75" customHeight="1" s="136"/>
    <row r="893" ht="15.75" customHeight="1" s="136"/>
    <row r="894" ht="15.75" customHeight="1" s="136"/>
    <row r="895" ht="15.75" customHeight="1" s="136"/>
    <row r="896" ht="15.75" customHeight="1" s="136"/>
    <row r="897" ht="15.75" customHeight="1" s="136"/>
    <row r="898" ht="15.75" customHeight="1" s="136"/>
    <row r="899" ht="15.75" customHeight="1" s="136"/>
    <row r="900" ht="15.75" customHeight="1" s="136"/>
    <row r="901" ht="15.75" customHeight="1" s="136"/>
    <row r="902" ht="15.75" customHeight="1" s="136"/>
    <row r="903" ht="15.75" customHeight="1" s="136"/>
    <row r="904" ht="15.75" customHeight="1" s="136"/>
    <row r="905" ht="15.75" customHeight="1" s="136"/>
    <row r="906" ht="15.75" customHeight="1" s="136"/>
    <row r="907" ht="15.75" customHeight="1" s="136"/>
    <row r="908" ht="15.75" customHeight="1" s="136"/>
    <row r="909" ht="15.75" customHeight="1" s="136"/>
    <row r="910" ht="15.75" customHeight="1" s="136"/>
    <row r="911" ht="15.75" customHeight="1" s="136"/>
    <row r="912" ht="15.75" customHeight="1" s="136"/>
    <row r="913" ht="15.75" customHeight="1" s="136"/>
    <row r="914" ht="15.75" customHeight="1" s="136"/>
    <row r="915" ht="15.75" customHeight="1" s="136"/>
    <row r="916" ht="15.75" customHeight="1" s="136"/>
    <row r="917" ht="15.75" customHeight="1" s="136"/>
    <row r="918" ht="15.75" customHeight="1" s="136"/>
    <row r="919" ht="15.75" customHeight="1" s="136"/>
    <row r="920" ht="15.75" customHeight="1" s="136"/>
    <row r="921" ht="15.75" customHeight="1" s="136"/>
    <row r="922" ht="15.75" customHeight="1" s="136"/>
    <row r="923" ht="15.75" customHeight="1" s="136"/>
    <row r="924" ht="15.75" customHeight="1" s="136"/>
    <row r="925" ht="15.75" customHeight="1" s="136"/>
    <row r="926" ht="15.75" customHeight="1" s="136"/>
    <row r="927" ht="15.75" customHeight="1" s="136"/>
    <row r="928" ht="15.75" customHeight="1" s="136"/>
    <row r="929" ht="15.75" customHeight="1" s="136"/>
    <row r="930" ht="15.75" customHeight="1" s="136"/>
    <row r="931" ht="15.75" customHeight="1" s="136"/>
    <row r="932" ht="15.75" customHeight="1" s="136"/>
    <row r="933" ht="15.75" customHeight="1" s="136"/>
    <row r="934" ht="15.75" customHeight="1" s="136"/>
    <row r="935" ht="15.75" customHeight="1" s="136"/>
    <row r="936" ht="15.75" customHeight="1" s="136"/>
    <row r="937" ht="15.75" customHeight="1" s="136"/>
    <row r="938" ht="15.75" customHeight="1" s="136"/>
    <row r="939" ht="15.75" customHeight="1" s="136"/>
    <row r="940" ht="15.75" customHeight="1" s="136"/>
    <row r="941" ht="15.75" customHeight="1" s="136"/>
    <row r="942" ht="15.75" customHeight="1" s="136"/>
    <row r="943" ht="15.75" customHeight="1" s="136"/>
    <row r="944" ht="15.75" customHeight="1" s="136"/>
    <row r="945" ht="15.75" customHeight="1" s="136"/>
    <row r="946" ht="15.75" customHeight="1" s="136"/>
    <row r="947" ht="15.75" customHeight="1" s="136"/>
    <row r="948" ht="15.75" customHeight="1" s="136"/>
    <row r="949" ht="15.75" customHeight="1" s="136"/>
    <row r="950" ht="15.75" customHeight="1" s="136"/>
    <row r="951" ht="15.75" customHeight="1" s="136"/>
    <row r="952" ht="15.75" customHeight="1" s="136"/>
    <row r="953" ht="15.75" customHeight="1" s="136"/>
    <row r="954" ht="15.75" customHeight="1" s="136"/>
    <row r="955" ht="15.75" customHeight="1" s="136"/>
    <row r="956" ht="15.75" customHeight="1" s="136"/>
    <row r="957" ht="15.75" customHeight="1" s="136"/>
    <row r="958" ht="15.75" customHeight="1" s="136"/>
    <row r="959" ht="15.75" customHeight="1" s="136"/>
    <row r="960" ht="15.75" customHeight="1" s="136"/>
    <row r="961" ht="15.75" customHeight="1" s="136"/>
    <row r="962" ht="15.75" customHeight="1" s="136"/>
    <row r="963" ht="15.75" customHeight="1" s="136"/>
    <row r="964" ht="15.75" customHeight="1" s="136"/>
    <row r="965" ht="15.75" customHeight="1" s="136"/>
    <row r="966" ht="15.75" customHeight="1" s="136"/>
    <row r="967" ht="15.75" customHeight="1" s="136"/>
    <row r="968" ht="15.75" customHeight="1" s="136"/>
    <row r="969" ht="15.75" customHeight="1" s="136"/>
    <row r="970" ht="15.75" customHeight="1" s="136"/>
    <row r="971" ht="15.75" customHeight="1" s="136"/>
    <row r="972" ht="15.75" customHeight="1" s="136"/>
    <row r="973" ht="15.75" customHeight="1" s="136"/>
    <row r="974" ht="15.75" customHeight="1" s="136"/>
    <row r="975" ht="15.75" customHeight="1" s="136"/>
    <row r="976" ht="15.75" customHeight="1" s="136"/>
    <row r="977" ht="15.75" customHeight="1" s="136"/>
    <row r="978" ht="15.75" customHeight="1" s="136"/>
    <row r="979" ht="15.75" customHeight="1" s="136"/>
    <row r="980" ht="15.75" customHeight="1" s="136"/>
    <row r="981" ht="15.75" customHeight="1" s="136"/>
    <row r="982" ht="15.75" customHeight="1" s="136"/>
    <row r="983" ht="15.75" customHeight="1" s="136"/>
    <row r="984" ht="15.75" customHeight="1" s="136"/>
    <row r="985" ht="15.75" customHeight="1" s="136"/>
    <row r="986" ht="15.75" customHeight="1" s="136"/>
    <row r="987" ht="15.75" customHeight="1" s="136"/>
    <row r="988" ht="15.75" customHeight="1" s="136"/>
    <row r="989" ht="15.75" customHeight="1" s="136"/>
    <row r="990" ht="15.75" customHeight="1" s="136"/>
    <row r="991" ht="15.75" customHeight="1" s="136"/>
    <row r="992" ht="15.75" customHeight="1" s="136"/>
    <row r="993" ht="15.75" customHeight="1" s="136"/>
    <row r="994" ht="15.75" customHeight="1" s="136"/>
    <row r="995" ht="15.75" customHeight="1" s="136"/>
    <row r="996" ht="15.75" customHeight="1" s="136"/>
    <row r="997" ht="15.75" customHeight="1" s="136"/>
    <row r="998" ht="15.75" customHeight="1" s="136"/>
    <row r="999" ht="15.75" customHeight="1" s="136"/>
    <row r="1000" ht="15.75" customHeight="1" s="136"/>
  </sheetData>
  <pageMargins left="0.75" right="0.75" top="1" bottom="1" header="0" footer="0"/>
  <pageSetup orientation="portrait" paperSize="9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G23"/>
  <sheetViews>
    <sheetView workbookViewId="0">
      <selection activeCell="A1" sqref="A1"/>
    </sheetView>
  </sheetViews>
  <sheetFormatPr baseColWidth="8" defaultColWidth="14.43" defaultRowHeight="15" customHeight="1"/>
  <sheetData>
    <row r="1">
      <c r="A1" s="108" t="inlineStr">
        <is>
          <t>MONTHLY &amp; QUARTERLY REVENUE</t>
        </is>
      </c>
    </row>
    <row r="2">
      <c r="A2" s="110" t="inlineStr">
        <is>
          <t>Season: Oct 2025 - Sep 2026</t>
        </is>
      </c>
      <c r="B2" s="109" t="n"/>
      <c r="C2" s="109" t="n"/>
      <c r="D2" s="109" t="n"/>
      <c r="E2" s="109" t="n"/>
      <c r="F2" s="109" t="n"/>
      <c r="G2" s="109" t="n"/>
    </row>
    <row r="3">
      <c r="A3" s="112" t="inlineStr">
        <is>
          <t>Month</t>
        </is>
      </c>
      <c r="B3" s="112" t="inlineStr">
        <is>
          <t>YouTube</t>
        </is>
      </c>
      <c r="C3" s="112" t="inlineStr">
        <is>
          <t>Culture Genesis</t>
        </is>
      </c>
      <c r="D3" s="112" t="inlineStr">
        <is>
          <t>Acast</t>
        </is>
      </c>
      <c r="E3" s="112" t="inlineStr">
        <is>
          <t>Backyard Ventures</t>
        </is>
      </c>
      <c r="F3" s="112" t="inlineStr">
        <is>
          <t>Other</t>
        </is>
      </c>
      <c r="G3" s="112" t="inlineStr">
        <is>
          <t>MONTHLY TOTAL</t>
        </is>
      </c>
    </row>
    <row r="4">
      <c r="A4" s="134" t="n">
        <v>45870</v>
      </c>
      <c r="B4" s="135" t="n">
        <v>0</v>
      </c>
      <c r="C4" s="135" t="n">
        <v>0</v>
      </c>
      <c r="D4" s="135">
        <f>'💸 Pay Tracker'!E2</f>
        <v/>
      </c>
      <c r="E4" s="135" t="n">
        <v>0</v>
      </c>
      <c r="F4" s="135" t="n">
        <v>0</v>
      </c>
      <c r="G4" s="135" t="n">
        <v>0</v>
      </c>
    </row>
    <row r="5">
      <c r="A5" s="134" t="n">
        <v>45901</v>
      </c>
      <c r="B5" s="135" t="n">
        <v>0</v>
      </c>
      <c r="C5" s="135" t="n">
        <v>0</v>
      </c>
      <c r="D5" s="135">
        <f>'💸 Pay Tracker'!E4</f>
        <v/>
      </c>
      <c r="E5" s="135" t="n">
        <v>0</v>
      </c>
      <c r="F5" s="135" t="n">
        <v>0</v>
      </c>
      <c r="G5" s="135" t="n">
        <v>0</v>
      </c>
    </row>
    <row r="6">
      <c r="A6" s="113" t="inlineStr">
        <is>
          <t>Oct 2025</t>
        </is>
      </c>
      <c r="B6" s="135" t="n">
        <v>0</v>
      </c>
      <c r="C6" s="135" t="n">
        <v>0</v>
      </c>
      <c r="D6" s="135">
        <f>'💸 Pay Tracker'!E5</f>
        <v/>
      </c>
      <c r="E6" s="135" t="n">
        <v>0</v>
      </c>
      <c r="F6" s="135">
        <f>SUMPRODUCT(('💸 Pay Tracker'!$C$2:$C$80&lt;&gt;"YouTube")*('💸 Pay Tracker'!$C$2:$C$80&lt;&gt;"Culture Genesis")*('💸 Pay Tracker'!$C$2:$C$80&lt;&gt;"Acast")*('💸 Pay Tracker'!$C$2:$C$80&lt;&gt;"")*(MONTH('💸 Pay Tracker'!$A$2:$A$80)=10)*(YEAR('💸 Pay Tracker'!$A$2:$A$80)=2025),'💸 Pay Tracker'!$G$2:$G$80)</f>
        <v/>
      </c>
      <c r="G6" s="135">
        <f>SUM(B6:F6)</f>
        <v/>
      </c>
    </row>
    <row r="7">
      <c r="A7" s="113" t="inlineStr">
        <is>
          <t>Nov 2025</t>
        </is>
      </c>
      <c r="B7" s="135" t="n">
        <v>0</v>
      </c>
      <c r="C7" s="135" t="n">
        <v>0</v>
      </c>
      <c r="D7" s="135">
        <f>'💸 Pay Tracker'!E6</f>
        <v/>
      </c>
      <c r="E7" s="135" t="n">
        <v>0</v>
      </c>
      <c r="F7" s="135">
        <f>SUMPRODUCT(('💸 Pay Tracker'!$C$2:$C$80&lt;&gt;"YouTube")*('💸 Pay Tracker'!$C$2:$C$80&lt;&gt;"Culture Genesis")*('💸 Pay Tracker'!$C$2:$C$80&lt;&gt;"Acast")*('💸 Pay Tracker'!$C$2:$C$80&lt;&gt;"")*(MONTH('💸 Pay Tracker'!$A$2:$A$80)=11)*(YEAR('💸 Pay Tracker'!$A$2:$A$80)=2025),'💸 Pay Tracker'!$G$2:$G$80)</f>
        <v/>
      </c>
      <c r="G7" s="135">
        <f>SUM(B7:F7)</f>
        <v/>
      </c>
    </row>
    <row r="8">
      <c r="A8" s="113" t="inlineStr">
        <is>
          <t>Dec 2025</t>
        </is>
      </c>
      <c r="B8" s="135">
        <f>SUMPRODUCT(('💸 Pay Tracker'!$C$2:$C$80="YouTube")*(MONTH('💸 Pay Tracker'!$A$2:$A$80)=12)*(YEAR('💸 Pay Tracker'!$A$2:$A$80)=2025),'💸 Pay Tracker'!$G$2:$G$80)+SUMPRODUCT(('💸 Pay Tracker'!$C$2:$C$80="YouTube")*(MONTH('💸 Pay Tracker'!$A$2:$A$80)=12)*(YEAR('💸 Pay Tracker'!$A$2:$A$80)=2025)*('💸 Pay Tracker'!$G$2:$G$80=""),'💸 Pay Tracker'!$E$2:$E$80)</f>
        <v/>
      </c>
      <c r="C8" s="135">
        <f>SUMPRODUCT(('💸 Pay Tracker'!$C$2:$C$80="Culture Genesis")*(MONTH('💸 Pay Tracker'!$A$2:$A$80)=12)*(YEAR('💸 Pay Tracker'!$A$2:$A$80)=2025),'💸 Pay Tracker'!$G$2:$G$80)+SUMPRODUCT(('💸 Pay Tracker'!$C$2:$C$80="Culture Genesis")*(MONTH('💸 Pay Tracker'!$A$2:$A$80)=12)*(YEAR('💸 Pay Tracker'!$A$2:$A$80)=2025)*('💸 Pay Tracker'!$G$2:$G$80=""),'💸 Pay Tracker'!$E$2:$E$80)</f>
        <v/>
      </c>
      <c r="D8" s="135">
        <f>'💸 Pay Tracker'!E7</f>
        <v/>
      </c>
      <c r="E8" s="135" t="n">
        <v>0</v>
      </c>
      <c r="F8" s="135">
        <f>SUMPRODUCT(('💸 Pay Tracker'!$C$2:$C$80&lt;&gt;"YouTube")*('💸 Pay Tracker'!$C$2:$C$80&lt;&gt;"Culture Genesis")*('💸 Pay Tracker'!$C$2:$C$80&lt;&gt;"Acast")*('💸 Pay Tracker'!$C$2:$C$80&lt;&gt;"")*(MONTH('💸 Pay Tracker'!$A$2:$A$80)=12)*(YEAR('💸 Pay Tracker'!$A$2:$A$80)=2025),'💸 Pay Tracker'!$G$2:$G$80)</f>
        <v/>
      </c>
      <c r="G8" s="135">
        <f>SUM(B8:F8)</f>
        <v/>
      </c>
    </row>
    <row r="9">
      <c r="A9" s="115" t="inlineStr">
        <is>
          <t>Q1 (Oct-Dec '25)</t>
        </is>
      </c>
      <c r="B9" s="116">
        <f>SUM(B6:B8)</f>
        <v/>
      </c>
      <c r="C9" s="116">
        <f>SUM(C6:C8)</f>
        <v/>
      </c>
      <c r="D9" s="116">
        <f>SUM(D6:D8)</f>
        <v/>
      </c>
      <c r="E9" s="116" t="n"/>
      <c r="F9" s="116">
        <f>SUM(F6:F8)</f>
        <v/>
      </c>
      <c r="G9" s="116">
        <f>SUM(G6:G8)</f>
        <v/>
      </c>
    </row>
    <row r="10">
      <c r="A10" s="113" t="inlineStr">
        <is>
          <t>Jan 2026</t>
        </is>
      </c>
      <c r="B10" s="135">
        <f>SUMPRODUCT(('💸 Pay Tracker'!$C$2:$C$80="YouTube")*(MONTH('💸 Pay Tracker'!$A$2:$A$80)=1)*(YEAR('💸 Pay Tracker'!$A$2:$A$80)=2026),'💸 Pay Tracker'!$G$2:$G$80)+SUMPRODUCT(('💸 Pay Tracker'!$C$2:$C$80="YouTube")*(MONTH('💸 Pay Tracker'!$A$2:$A$80)=1)*(YEAR('💸 Pay Tracker'!$A$2:$A$80)=2026)*('💸 Pay Tracker'!$G$2:$G$80=""),'💸 Pay Tracker'!$E$2:$E$80)</f>
        <v/>
      </c>
      <c r="C10" s="135">
        <f>SUMPRODUCT(('💸 Pay Tracker'!$C$2:$C$80="Culture Genesis")*(MONTH('💸 Pay Tracker'!$A$2:$A$80)=1)*(YEAR('💸 Pay Tracker'!$A$2:$A$80)=2026),'💸 Pay Tracker'!$G$2:$G$80)+SUMPRODUCT(('💸 Pay Tracker'!$C$2:$C$80="Culture Genesis")*(MONTH('💸 Pay Tracker'!$A$2:$A$80)=1)*(YEAR('💸 Pay Tracker'!$A$2:$A$80)=2026)*('💸 Pay Tracker'!$G$2:$G$80=""),'💸 Pay Tracker'!$E$2:$E$80)</f>
        <v/>
      </c>
      <c r="D10" s="135">
        <f>SUMPRODUCT(('💸 Pay Tracker'!$C$2:$C$80="Acast")*(MONTH('💸 Pay Tracker'!$A$2:$A$80)=1)*(YEAR('💸 Pay Tracker'!$A$2:$A$80)=2026),'💸 Pay Tracker'!$G$2:$G$80)+SUMPRODUCT(('💸 Pay Tracker'!$C$2:$C$80="Acast")*(MONTH('💸 Pay Tracker'!$A$2:$A$80)=1)*(YEAR('💸 Pay Tracker'!$A$2:$A$80)=2026)*('💸 Pay Tracker'!$G$2:$G$80=""),'💸 Pay Tracker'!$E$2:$E$80)</f>
        <v/>
      </c>
      <c r="E10" s="135" t="n"/>
      <c r="F10" s="135">
        <f>SUMPRODUCT(('💸 Pay Tracker'!$C$2:$C$80&lt;&gt;"YouTube")*('💸 Pay Tracker'!$C$2:$C$80&lt;&gt;"Culture Genesis")*('💸 Pay Tracker'!$C$2:$C$80&lt;&gt;"Acast")*('💸 Pay Tracker'!$C$2:$C$80&lt;&gt;"")*(MONTH('💸 Pay Tracker'!$A$2:$A$80)=1)*(YEAR('💸 Pay Tracker'!$A$2:$A$80)=2026),'💸 Pay Tracker'!$G$2:$G$80)</f>
        <v/>
      </c>
      <c r="G10" s="135">
        <f>SUM(B10:F10)</f>
        <v/>
      </c>
    </row>
    <row r="11">
      <c r="A11" s="113" t="inlineStr">
        <is>
          <t>Feb 2026</t>
        </is>
      </c>
      <c r="B11" s="135">
        <f>SUMPRODUCT(('💸 Pay Tracker'!$C$2:$C$80="YouTube")*(MONTH('💸 Pay Tracker'!$A$2:$A$80)=2)*(YEAR('💸 Pay Tracker'!$A$2:$A$80)=2026),'💸 Pay Tracker'!$G$2:$G$80)+SUMPRODUCT(('💸 Pay Tracker'!$C$2:$C$80="YouTube")*(MONTH('💸 Pay Tracker'!$A$2:$A$80)=2)*(YEAR('💸 Pay Tracker'!$A$2:$A$80)=2026)*('💸 Pay Tracker'!$G$2:$G$80=""),'💸 Pay Tracker'!$E$2:$E$80)</f>
        <v/>
      </c>
      <c r="C11" s="135">
        <f>SUMPRODUCT(('💸 Pay Tracker'!$C$2:$C$80="Culture Genesis")*(MONTH('💸 Pay Tracker'!$A$2:$A$80)=2)*(YEAR('💸 Pay Tracker'!$A$2:$A$80)=2026),'💸 Pay Tracker'!$G$2:$G$80)+SUMPRODUCT(('💸 Pay Tracker'!$C$2:$C$80="Culture Genesis")*(MONTH('💸 Pay Tracker'!$A$2:$A$80)=2)*(YEAR('💸 Pay Tracker'!$A$2:$A$80)=2026)*('💸 Pay Tracker'!$G$2:$G$80=""),'💸 Pay Tracker'!$E$2:$E$80)</f>
        <v/>
      </c>
      <c r="D11" s="135">
        <f>SUMPRODUCT(('💸 Pay Tracker'!$C$2:$C$80="Acast")*(MONTH('💸 Pay Tracker'!$A$2:$A$80)=2)*(YEAR('💸 Pay Tracker'!$A$2:$A$80)=2026),'💸 Pay Tracker'!$G$2:$G$80)+SUMPRODUCT(('💸 Pay Tracker'!$C$2:$C$80="Acast")*(MONTH('💸 Pay Tracker'!$A$2:$A$80)=2)*(YEAR('💸 Pay Tracker'!$A$2:$A$80)=2026)*('💸 Pay Tracker'!$G$2:$G$80=""),'💸 Pay Tracker'!$E$2:$E$80)</f>
        <v/>
      </c>
      <c r="E11" s="135" t="n"/>
      <c r="F11" s="135">
        <f>SUMPRODUCT(('💸 Pay Tracker'!$C$2:$C$80&lt;&gt;"YouTube")*('💸 Pay Tracker'!$C$2:$C$80&lt;&gt;"Culture Genesis")*('💸 Pay Tracker'!$C$2:$C$80&lt;&gt;"Acast")*('💸 Pay Tracker'!$C$2:$C$80&lt;&gt;"")*(MONTH('💸 Pay Tracker'!$A$2:$A$80)=2)*(YEAR('💸 Pay Tracker'!$A$2:$A$80)=2026),'💸 Pay Tracker'!$G$2:$G$80)</f>
        <v/>
      </c>
      <c r="G11" s="135">
        <f>SUM(B11:F11)</f>
        <v/>
      </c>
    </row>
    <row r="12">
      <c r="A12" s="113" t="inlineStr">
        <is>
          <t>Mar 2026</t>
        </is>
      </c>
      <c r="B12" s="135">
        <f>SUMPRODUCT(('💸 Pay Tracker'!$C$2:$C$80="YouTube")*(MONTH('💸 Pay Tracker'!$A$2:$A$80)=3)*(YEAR('💸 Pay Tracker'!$A$2:$A$80)=2026),'💸 Pay Tracker'!$G$2:$G$80)+SUMPRODUCT(('💸 Pay Tracker'!$C$2:$C$80="YouTube")*(MONTH('💸 Pay Tracker'!$A$2:$A$80)=3)*(YEAR('💸 Pay Tracker'!$A$2:$A$80)=2026)*('💸 Pay Tracker'!$G$2:$G$80=""),'💸 Pay Tracker'!$E$2:$E$80)</f>
        <v/>
      </c>
      <c r="C12" s="135">
        <f>SUMPRODUCT(('💸 Pay Tracker'!$C$2:$C$80="Culture Genesis")*(MONTH('💸 Pay Tracker'!$A$2:$A$80)=3)*(YEAR('💸 Pay Tracker'!$A$2:$A$80)=2026),'💸 Pay Tracker'!$G$2:$G$80)+SUMPRODUCT(('💸 Pay Tracker'!$C$2:$C$80="Culture Genesis")*(MONTH('💸 Pay Tracker'!$A$2:$A$80)=3)*(YEAR('💸 Pay Tracker'!$A$2:$A$80)=2026)*('💸 Pay Tracker'!$G$2:$G$80=""),'💸 Pay Tracker'!$E$2:$E$80)</f>
        <v/>
      </c>
      <c r="D12" s="135">
        <f>SUMPRODUCT(('💸 Pay Tracker'!$C$2:$C$80="Acast")*(MONTH('💸 Pay Tracker'!$A$2:$A$80)=3)*(YEAR('💸 Pay Tracker'!$A$2:$A$80)=2026),'💸 Pay Tracker'!$G$2:$G$80)+SUMPRODUCT(('💸 Pay Tracker'!$C$2:$C$80="Acast")*(MONTH('💸 Pay Tracker'!$A$2:$A$80)=3)*(YEAR('💸 Pay Tracker'!$A$2:$A$80)=2026)*('💸 Pay Tracker'!$G$2:$G$80=""),'💸 Pay Tracker'!$E$2:$E$80)</f>
        <v/>
      </c>
      <c r="E12" s="135" t="n"/>
      <c r="F12" s="135">
        <f>SUMPRODUCT(('💸 Pay Tracker'!$C$2:$C$80&lt;&gt;"YouTube")*('💸 Pay Tracker'!$C$2:$C$80&lt;&gt;"Culture Genesis")*('💸 Pay Tracker'!$C$2:$C$80&lt;&gt;"Acast")*('💸 Pay Tracker'!$C$2:$C$80&lt;&gt;"")*(MONTH('💸 Pay Tracker'!$A$2:$A$80)=3)*(YEAR('💸 Pay Tracker'!$A$2:$A$80)=2026),'💸 Pay Tracker'!$G$2:$G$80)</f>
        <v/>
      </c>
      <c r="G12" s="135">
        <f>SUM(B12:F12)</f>
        <v/>
      </c>
    </row>
    <row r="13">
      <c r="A13" s="115" t="inlineStr">
        <is>
          <t>Q2 (Jan-Mar '26)</t>
        </is>
      </c>
      <c r="B13" s="116">
        <f>SUM(B10:B12)</f>
        <v/>
      </c>
      <c r="C13" s="116">
        <f>SUM(C10:C12)</f>
        <v/>
      </c>
      <c r="D13" s="116">
        <f>SUM(D10:D12)</f>
        <v/>
      </c>
      <c r="E13" s="116" t="n"/>
      <c r="F13" s="116">
        <f>SUM(F10:F12)</f>
        <v/>
      </c>
      <c r="G13" s="116">
        <f>SUM(G10:G12)</f>
        <v/>
      </c>
    </row>
    <row r="14">
      <c r="A14" s="113" t="inlineStr">
        <is>
          <t>Apr 2026</t>
        </is>
      </c>
      <c r="B14" s="135">
        <f>SUMPRODUCT(('💸 Pay Tracker'!$C$2:$C$80="YouTube")*(MONTH('💸 Pay Tracker'!$A$2:$A$80)=4)*(YEAR('💸 Pay Tracker'!$A$2:$A$80)=2026),'💸 Pay Tracker'!$G$2:$G$80)+SUMPRODUCT(('💸 Pay Tracker'!$C$2:$C$80="YouTube")*(MONTH('💸 Pay Tracker'!$A$2:$A$80)=4)*(YEAR('💸 Pay Tracker'!$A$2:$A$80)=2026)*('💸 Pay Tracker'!$G$2:$G$80=""),'💸 Pay Tracker'!$E$2:$E$80)</f>
        <v/>
      </c>
      <c r="C14" s="135">
        <f>SUMPRODUCT(('💸 Pay Tracker'!$C$2:$C$80="Culture Genesis")*(MONTH('💸 Pay Tracker'!$A$2:$A$80)=4)*(YEAR('💸 Pay Tracker'!$A$2:$A$80)=2026),'💸 Pay Tracker'!$G$2:$G$80)+SUMPRODUCT(('💸 Pay Tracker'!$C$2:$C$80="Culture Genesis")*(MONTH('💸 Pay Tracker'!$A$2:$A$80)=4)*(YEAR('💸 Pay Tracker'!$A$2:$A$80)=2026)*('💸 Pay Tracker'!$G$2:$G$80=""),'💸 Pay Tracker'!$E$2:$E$80)</f>
        <v/>
      </c>
      <c r="D14" s="135">
        <f>SUMPRODUCT(('💸 Pay Tracker'!$C$2:$C$80="Acast")*(MONTH('💸 Pay Tracker'!$A$2:$A$80)=4)*(YEAR('💸 Pay Tracker'!$A$2:$A$80)=2026),'💸 Pay Tracker'!$G$2:$G$80)+SUMPRODUCT(('💸 Pay Tracker'!$C$2:$C$80="Acast")*(MONTH('💸 Pay Tracker'!$A$2:$A$80)=4)*(YEAR('💸 Pay Tracker'!$A$2:$A$80)=2026)*('💸 Pay Tracker'!$G$2:$G$80=""),'💸 Pay Tracker'!$E$2:$E$80)</f>
        <v/>
      </c>
      <c r="E14" s="135" t="n"/>
      <c r="F14" s="135">
        <f>SUMPRODUCT(('💸 Pay Tracker'!$C$2:$C$80&lt;&gt;"YouTube")*('💸 Pay Tracker'!$C$2:$C$80&lt;&gt;"Culture Genesis")*('💸 Pay Tracker'!$C$2:$C$80&lt;&gt;"Acast")*('💸 Pay Tracker'!$C$2:$C$80&lt;&gt;"")*(MONTH('💸 Pay Tracker'!$A$2:$A$80)=4)*(YEAR('💸 Pay Tracker'!$A$2:$A$80)=2026),'💸 Pay Tracker'!$G$2:$G$80)</f>
        <v/>
      </c>
      <c r="G14" s="135">
        <f>SUM(B14:F14)</f>
        <v/>
      </c>
    </row>
    <row r="15">
      <c r="A15" s="113" t="inlineStr">
        <is>
          <t>May 2026</t>
        </is>
      </c>
      <c r="B15" s="135">
        <f>SUMPRODUCT(('💸 Pay Tracker'!$C$2:$C$80="YouTube")*(MONTH('💸 Pay Tracker'!$A$2:$A$80)=5)*(YEAR('💸 Pay Tracker'!$A$2:$A$80)=2026),'💸 Pay Tracker'!$G$2:$G$80)+SUMPRODUCT(('💸 Pay Tracker'!$C$2:$C$80="YouTube")*(MONTH('💸 Pay Tracker'!$A$2:$A$80)=5)*(YEAR('💸 Pay Tracker'!$A$2:$A$80)=2026)*('💸 Pay Tracker'!$G$2:$G$80=""),'💸 Pay Tracker'!$E$2:$E$80)</f>
        <v/>
      </c>
      <c r="C15" s="135">
        <f>SUMPRODUCT(('💸 Pay Tracker'!$C$2:$C$80="Culture Genesis")*(MONTH('💸 Pay Tracker'!$A$2:$A$80)=5)*(YEAR('💸 Pay Tracker'!$A$2:$A$80)=2026),'💸 Pay Tracker'!$G$2:$G$80)+SUMPRODUCT(('💸 Pay Tracker'!$C$2:$C$80="Culture Genesis")*(MONTH('💸 Pay Tracker'!$A$2:$A$80)=5)*(YEAR('💸 Pay Tracker'!$A$2:$A$80)=2026)*('💸 Pay Tracker'!$G$2:$G$80=""),'💸 Pay Tracker'!$E$2:$E$80)</f>
        <v/>
      </c>
      <c r="D15" s="135">
        <f>SUMPRODUCT(('💸 Pay Tracker'!$C$2:$C$80="Acast")*(MONTH('💸 Pay Tracker'!$A$2:$A$80)=5)*(YEAR('💸 Pay Tracker'!$A$2:$A$80)=2026),'💸 Pay Tracker'!$G$2:$G$80)+SUMPRODUCT(('💸 Pay Tracker'!$C$2:$C$80="Acast")*(MONTH('💸 Pay Tracker'!$A$2:$A$80)=5)*(YEAR('💸 Pay Tracker'!$A$2:$A$80)=2026)*('💸 Pay Tracker'!$G$2:$G$80=""),'💸 Pay Tracker'!$E$2:$E$80)</f>
        <v/>
      </c>
      <c r="E15" s="135" t="n"/>
      <c r="F15" s="135">
        <f>SUMPRODUCT(('💸 Pay Tracker'!$C$2:$C$80&lt;&gt;"YouTube")*('💸 Pay Tracker'!$C$2:$C$80&lt;&gt;"Culture Genesis")*('💸 Pay Tracker'!$C$2:$C$80&lt;&gt;"Acast")*('💸 Pay Tracker'!$C$2:$C$80&lt;&gt;"")*(MONTH('💸 Pay Tracker'!$A$2:$A$80)=5)*(YEAR('💸 Pay Tracker'!$A$2:$A$80)=2026),'💸 Pay Tracker'!$G$2:$G$80)</f>
        <v/>
      </c>
      <c r="G15" s="135">
        <f>SUM(B15:F15)</f>
        <v/>
      </c>
    </row>
    <row r="16">
      <c r="A16" s="113" t="inlineStr">
        <is>
          <t>Jun 2026</t>
        </is>
      </c>
      <c r="B16" s="135">
        <f>SUMPRODUCT(('💸 Pay Tracker'!$C$2:$C$80="YouTube")*(MONTH('💸 Pay Tracker'!$A$2:$A$80)=6)*(YEAR('💸 Pay Tracker'!$A$2:$A$80)=2026),'💸 Pay Tracker'!$G$2:$G$80)+SUMPRODUCT(('💸 Pay Tracker'!$C$2:$C$80="YouTube")*(MONTH('💸 Pay Tracker'!$A$2:$A$80)=6)*(YEAR('💸 Pay Tracker'!$A$2:$A$80)=2026)*('💸 Pay Tracker'!$G$2:$G$80=""),'💸 Pay Tracker'!$E$2:$E$80)</f>
        <v/>
      </c>
      <c r="C16" s="135">
        <f>SUMPRODUCT(('💸 Pay Tracker'!$C$2:$C$80="Culture Genesis")*(MONTH('💸 Pay Tracker'!$A$2:$A$80)=6)*(YEAR('💸 Pay Tracker'!$A$2:$A$80)=2026),'💸 Pay Tracker'!$G$2:$G$80)+SUMPRODUCT(('💸 Pay Tracker'!$C$2:$C$80="Culture Genesis")*(MONTH('💸 Pay Tracker'!$A$2:$A$80)=6)*(YEAR('💸 Pay Tracker'!$A$2:$A$80)=2026)*('💸 Pay Tracker'!$G$2:$G$80=""),'💸 Pay Tracker'!$E$2:$E$80)</f>
        <v/>
      </c>
      <c r="D16" s="135">
        <f>SUMPRODUCT(('💸 Pay Tracker'!$C$2:$C$80="Acast")*(MONTH('💸 Pay Tracker'!$A$2:$A$80)=6)*(YEAR('💸 Pay Tracker'!$A$2:$A$80)=2026),'💸 Pay Tracker'!$G$2:$G$80)+SUMPRODUCT(('💸 Pay Tracker'!$C$2:$C$80="Acast")*(MONTH('💸 Pay Tracker'!$A$2:$A$80)=6)*(YEAR('💸 Pay Tracker'!$A$2:$A$80)=2026)*('💸 Pay Tracker'!$G$2:$G$80=""),'💸 Pay Tracker'!$E$2:$E$80)</f>
        <v/>
      </c>
      <c r="E16" s="135" t="n"/>
      <c r="F16" s="135">
        <f>SUMPRODUCT(('💸 Pay Tracker'!$C$2:$C$80&lt;&gt;"YouTube")*('💸 Pay Tracker'!$C$2:$C$80&lt;&gt;"Culture Genesis")*('💸 Pay Tracker'!$C$2:$C$80&lt;&gt;"Acast")*('💸 Pay Tracker'!$C$2:$C$80&lt;&gt;"")*(MONTH('💸 Pay Tracker'!$A$2:$A$80)=6)*(YEAR('💸 Pay Tracker'!$A$2:$A$80)=2026),'💸 Pay Tracker'!$G$2:$G$80)</f>
        <v/>
      </c>
      <c r="G16" s="135">
        <f>SUM(B16:F16)</f>
        <v/>
      </c>
    </row>
    <row r="17">
      <c r="A17" s="115" t="inlineStr">
        <is>
          <t>Q3 (Apr-Jun '26)</t>
        </is>
      </c>
      <c r="B17" s="116">
        <f>SUM(B14:B16)</f>
        <v/>
      </c>
      <c r="C17" s="116">
        <f>SUM(C14:C16)</f>
        <v/>
      </c>
      <c r="D17" s="116">
        <f>SUM(D14:D16)</f>
        <v/>
      </c>
      <c r="E17" s="116" t="n"/>
      <c r="F17" s="116">
        <f>SUM(F14:F16)</f>
        <v/>
      </c>
      <c r="G17" s="116">
        <f>SUM(G14:G16)</f>
        <v/>
      </c>
    </row>
    <row r="18">
      <c r="A18" s="113" t="inlineStr">
        <is>
          <t>Jul 2026</t>
        </is>
      </c>
      <c r="B18" s="135">
        <f>SUMPRODUCT(('💸 Pay Tracker'!$C$2:$C$80="YouTube")*(MONTH('💸 Pay Tracker'!$A$2:$A$80)=7)*(YEAR('💸 Pay Tracker'!$A$2:$A$80)=2026),'💸 Pay Tracker'!$G$2:$G$80)+SUMPRODUCT(('💸 Pay Tracker'!$C$2:$C$80="YouTube")*(MONTH('💸 Pay Tracker'!$A$2:$A$80)=7)*(YEAR('💸 Pay Tracker'!$A$2:$A$80)=2026)*('💸 Pay Tracker'!$G$2:$G$80=""),'💸 Pay Tracker'!$E$2:$E$80)</f>
        <v/>
      </c>
      <c r="C18" s="135">
        <f>SUMPRODUCT(('💸 Pay Tracker'!$C$2:$C$80="Culture Genesis")*(MONTH('💸 Pay Tracker'!$A$2:$A$80)=7)*(YEAR('💸 Pay Tracker'!$A$2:$A$80)=2026),'💸 Pay Tracker'!$G$2:$G$80)+SUMPRODUCT(('💸 Pay Tracker'!$C$2:$C$80="Culture Genesis")*(MONTH('💸 Pay Tracker'!$A$2:$A$80)=7)*(YEAR('💸 Pay Tracker'!$A$2:$A$80)=2026)*('💸 Pay Tracker'!$G$2:$G$80=""),'💸 Pay Tracker'!$E$2:$E$80)</f>
        <v/>
      </c>
      <c r="D18" s="135">
        <f>SUMPRODUCT(('💸 Pay Tracker'!$C$2:$C$80="Acast")*(MONTH('💸 Pay Tracker'!$A$2:$A$80)=7)*(YEAR('💸 Pay Tracker'!$A$2:$A$80)=2026),'💸 Pay Tracker'!$G$2:$G$80)+SUMPRODUCT(('💸 Pay Tracker'!$C$2:$C$80="Acast")*(MONTH('💸 Pay Tracker'!$A$2:$A$80)=7)*(YEAR('💸 Pay Tracker'!$A$2:$A$80)=2026)*('💸 Pay Tracker'!$G$2:$G$80=""),'💸 Pay Tracker'!$E$2:$E$80)</f>
        <v/>
      </c>
      <c r="E18" s="135" t="n"/>
      <c r="F18" s="135">
        <f>SUMPRODUCT(('💸 Pay Tracker'!$C$2:$C$80&lt;&gt;"YouTube")*('💸 Pay Tracker'!$C$2:$C$80&lt;&gt;"Culture Genesis")*('💸 Pay Tracker'!$C$2:$C$80&lt;&gt;"Acast")*('💸 Pay Tracker'!$C$2:$C$80&lt;&gt;"")*(MONTH('💸 Pay Tracker'!$A$2:$A$80)=7)*(YEAR('💸 Pay Tracker'!$A$2:$A$80)=2026),'💸 Pay Tracker'!$G$2:$G$80)</f>
        <v/>
      </c>
      <c r="G18" s="135">
        <f>SUM(B18:F18)</f>
        <v/>
      </c>
    </row>
    <row r="19">
      <c r="A19" s="113" t="inlineStr">
        <is>
          <t>Aug 2026</t>
        </is>
      </c>
      <c r="B19" s="135">
        <f>SUMPRODUCT(('💸 Pay Tracker'!$C$2:$C$80="YouTube")*(MONTH('💸 Pay Tracker'!$A$2:$A$80)=8)*(YEAR('💸 Pay Tracker'!$A$2:$A$80)=2026),'💸 Pay Tracker'!$G$2:$G$80)+SUMPRODUCT(('💸 Pay Tracker'!$C$2:$C$80="YouTube")*(MONTH('💸 Pay Tracker'!$A$2:$A$80)=8)*(YEAR('💸 Pay Tracker'!$A$2:$A$80)=2026)*('💸 Pay Tracker'!$G$2:$G$80=""),'💸 Pay Tracker'!$E$2:$E$80)</f>
        <v/>
      </c>
      <c r="C19" s="135">
        <f>SUMPRODUCT(('💸 Pay Tracker'!$C$2:$C$80="Culture Genesis")*(MONTH('💸 Pay Tracker'!$A$2:$A$80)=8)*(YEAR('💸 Pay Tracker'!$A$2:$A$80)=2026),'💸 Pay Tracker'!$G$2:$G$80)+SUMPRODUCT(('💸 Pay Tracker'!$C$2:$C$80="Culture Genesis")*(MONTH('💸 Pay Tracker'!$A$2:$A$80)=8)*(YEAR('💸 Pay Tracker'!$A$2:$A$80)=2026)*('💸 Pay Tracker'!$G$2:$G$80=""),'💸 Pay Tracker'!$E$2:$E$80)</f>
        <v/>
      </c>
      <c r="D19" s="135">
        <f>SUMPRODUCT(('💸 Pay Tracker'!$C$2:$C$80="Acast")*(MONTH('💸 Pay Tracker'!$A$2:$A$80)=8)*(YEAR('💸 Pay Tracker'!$A$2:$A$80)=2026),'💸 Pay Tracker'!$G$2:$G$80)+SUMPRODUCT(('💸 Pay Tracker'!$C$2:$C$80="Acast")*(MONTH('💸 Pay Tracker'!$A$2:$A$80)=8)*(YEAR('💸 Pay Tracker'!$A$2:$A$80)=2026)*('💸 Pay Tracker'!$G$2:$G$80=""),'💸 Pay Tracker'!$E$2:$E$80)</f>
        <v/>
      </c>
      <c r="E19" s="135" t="n"/>
      <c r="F19" s="135">
        <f>SUMPRODUCT(('💸 Pay Tracker'!$C$2:$C$80&lt;&gt;"YouTube")*('💸 Pay Tracker'!$C$2:$C$80&lt;&gt;"Culture Genesis")*('💸 Pay Tracker'!$C$2:$C$80&lt;&gt;"Acast")*('💸 Pay Tracker'!$C$2:$C$80&lt;&gt;"")*(MONTH('💸 Pay Tracker'!$A$2:$A$80)=8)*(YEAR('💸 Pay Tracker'!$A$2:$A$80)=2026),'💸 Pay Tracker'!$G$2:$G$80)</f>
        <v/>
      </c>
      <c r="G19" s="135">
        <f>SUM(B19:F19)</f>
        <v/>
      </c>
    </row>
    <row r="20">
      <c r="A20" s="113" t="inlineStr">
        <is>
          <t>Sep 2026</t>
        </is>
      </c>
      <c r="B20" s="135">
        <f>SUMPRODUCT(('💸 Pay Tracker'!$C$2:$C$80="YouTube")*(MONTH('💸 Pay Tracker'!$A$2:$A$80)=9)*(YEAR('💸 Pay Tracker'!$A$2:$A$80)=2026),'💸 Pay Tracker'!$G$2:$G$80)+SUMPRODUCT(('💸 Pay Tracker'!$C$2:$C$80="YouTube")*(MONTH('💸 Pay Tracker'!$A$2:$A$80)=9)*(YEAR('💸 Pay Tracker'!$A$2:$A$80)=2026)*('💸 Pay Tracker'!$G$2:$G$80=""),'💸 Pay Tracker'!$E$2:$E$80)</f>
        <v/>
      </c>
      <c r="C20" s="135">
        <f>SUMPRODUCT(('💸 Pay Tracker'!$C$2:$C$80="Culture Genesis")*(MONTH('💸 Pay Tracker'!$A$2:$A$80)=9)*(YEAR('💸 Pay Tracker'!$A$2:$A$80)=2026),'💸 Pay Tracker'!$G$2:$G$80)+SUMPRODUCT(('💸 Pay Tracker'!$C$2:$C$80="Culture Genesis")*(MONTH('💸 Pay Tracker'!$A$2:$A$80)=9)*(YEAR('💸 Pay Tracker'!$A$2:$A$80)=2026)*('💸 Pay Tracker'!$G$2:$G$80=""),'💸 Pay Tracker'!$E$2:$E$80)</f>
        <v/>
      </c>
      <c r="D20" s="135">
        <f>SUMPRODUCT(('💸 Pay Tracker'!$C$2:$C$80="Acast")*(MONTH('💸 Pay Tracker'!$A$2:$A$80)=9)*(YEAR('💸 Pay Tracker'!$A$2:$A$80)=2026),'💸 Pay Tracker'!$G$2:$G$80)+SUMPRODUCT(('💸 Pay Tracker'!$C$2:$C$80="Acast")*(MONTH('💸 Pay Tracker'!$A$2:$A$80)=9)*(YEAR('💸 Pay Tracker'!$A$2:$A$80)=2026)*('💸 Pay Tracker'!$G$2:$G$80=""),'💸 Pay Tracker'!$E$2:$E$80)</f>
        <v/>
      </c>
      <c r="E20" s="135" t="n"/>
      <c r="F20" s="135">
        <f>SUMPRODUCT(('💸 Pay Tracker'!$C$2:$C$80&lt;&gt;"YouTube")*('💸 Pay Tracker'!$C$2:$C$80&lt;&gt;"Culture Genesis")*('💸 Pay Tracker'!$C$2:$C$80&lt;&gt;"Acast")*('💸 Pay Tracker'!$C$2:$C$80&lt;&gt;"")*(MONTH('💸 Pay Tracker'!$A$2:$A$80)=9)*(YEAR('💸 Pay Tracker'!$A$2:$A$80)=2026),'💸 Pay Tracker'!$G$2:$G$80)</f>
        <v/>
      </c>
      <c r="G20" s="135">
        <f>SUM(B20:F20)</f>
        <v/>
      </c>
    </row>
    <row r="21">
      <c r="A21" s="115" t="inlineStr">
        <is>
          <t>Q4 (Jul-Sep '26)</t>
        </is>
      </c>
      <c r="B21" s="116">
        <f>SUM(B18:B20)</f>
        <v/>
      </c>
      <c r="C21" s="116">
        <f>SUM(C18:C20)</f>
        <v/>
      </c>
      <c r="D21" s="116">
        <f>SUM(D18:D20)</f>
        <v/>
      </c>
      <c r="E21" s="116" t="n"/>
      <c r="F21" s="116">
        <f>SUM(F18:F20)</f>
        <v/>
      </c>
      <c r="G21" s="116">
        <f>SUM(G18:G20)</f>
        <v/>
      </c>
    </row>
    <row r="22">
      <c r="A22" s="117" t="inlineStr">
        <is>
          <t>SEASON TOTAL</t>
        </is>
      </c>
      <c r="B22" s="118">
        <f>B9+B13+B17+B21</f>
        <v/>
      </c>
      <c r="C22" s="118">
        <f>C9+C13+C17+C21</f>
        <v/>
      </c>
      <c r="D22" s="118">
        <f>D9+D13+D17+D21</f>
        <v/>
      </c>
      <c r="E22" s="118" t="n"/>
      <c r="F22" s="118">
        <f>F9+F13+F17+F21</f>
        <v/>
      </c>
      <c r="G22" s="118">
        <f>G9+G13+G17+G21</f>
        <v/>
      </c>
    </row>
    <row r="23">
      <c r="A23" s="109" t="n"/>
      <c r="B23" s="109" t="n"/>
      <c r="C23" s="109" t="n"/>
      <c r="D23" s="109" t="n"/>
      <c r="E23" s="109" t="n"/>
      <c r="F23" s="109" t="n"/>
      <c r="G23" s="109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2026-04-28T23:38:57Z</dcterms:created>
  <dcterms:modified xmlns:dcterms="http://purl.org/dc/terms/" xmlns:xsi="http://www.w3.org/2001/XMLSchema-instance" xsi:type="dcterms:W3CDTF">2026-04-28T23:39:18Z</dcterms:modified>
</cp:coreProperties>
</file>