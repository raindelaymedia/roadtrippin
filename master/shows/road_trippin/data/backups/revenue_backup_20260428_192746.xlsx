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Overview &amp; Trends" sheetId="1" r:id="rId5"/>
    <sheet state="visible" name="💸 Pay Tracker" sheetId="2" r:id="rId6"/>
    <sheet state="hidden" name="📈 Monthly &amp; Quarterly" sheetId="3" r:id="rId7"/>
    <sheet state="hidden" name="⏰ Pay Schedules" sheetId="4" r:id="rId8"/>
    <sheet state="hidden" name="🧾 Reimbursements" sheetId="5" r:id="rId9"/>
  </sheets>
  <definedNames>
    <definedName hidden="1" localSheetId="1" name="Z_B049C1F0_5A9B_44F1_80A3_32F85D97B388_.wvu.FilterData">'💸 Pay Tracker'!$A$1:$O$24</definedName>
    <definedName hidden="1" localSheetId="1" name="Z_A966F8FE_61B8_43F2_8DED_C3BE2E2BA9C3_.wvu.FilterData">'💸 Pay Tracker'!$A$1:$O$24</definedName>
  </definedNames>
  <calcPr/>
  <customWorkbookViews>
    <customWorkbookView activeSheetId="0" maximized="1" windowHeight="0" windowWidth="0" guid="{B049C1F0-5A9B-44F1-80A3-32F85D97B388}" name="By Rev Source"/>
    <customWorkbookView activeSheetId="0" maximized="1" windowHeight="0" windowWidth="0" guid="{A966F8FE-61B8-43F2-8DED-C3BE2E2BA9C3}" name="Group by Source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All YT $ is according to YT Studio dashboard, not Culture Genesis earnings reports. The difference between these two is typically &lt;$1 (so you may notice different #s)</t>
      </text>
    </comment>
    <comment authorId="0" ref="A9">
      <text>
        <t xml:space="preserve">AI-powered YouTube back catalog optimization. Uptides.ai automatically analyzes and optimizes YouTube titles and thumbnails to increase views, watch time, and revenue.
We only pay a share (30%) of the extra revenue Uptides helps generate. Extra rev is added/paid through YouTube AdSense (directly to RTS LLC).
STARTED: FEB 2026</t>
      </text>
    </comment>
    <comment authorId="0" ref="C10">
      <text>
        <t xml:space="preserve">Estimated by Acast. Exact payout 1-2 months behind</t>
      </text>
    </comment>
    <comment authorId="0" ref="D10">
      <text>
        <t xml:space="preserve">Estimated by Acast. Exact payout 1-2 months behind</t>
      </text>
    </comment>
    <comment authorId="0" ref="E10">
      <text>
        <t xml:space="preserve">Estimated by Acast. Exact payout 1-2 months behind</t>
      </text>
    </comment>
    <comment authorId="0" ref="F10">
      <text>
        <t xml:space="preserve">Estimated by Acast. Exact payout 1-2 months behind</t>
      </text>
    </comment>
    <comment authorId="0" ref="G10">
      <text>
        <t xml:space="preserve">Estimated by Acast. Exact payout 1-2 months behind</t>
      </text>
    </comment>
    <comment authorId="0" ref="H10">
      <text>
        <t xml:space="preserve">Estimated by Acast. Exact payout 1-2 months behind</t>
      </text>
    </comment>
    <comment authorId="0" ref="B11">
      <text>
        <t xml:space="preserve">Meta/Threads payment from 12/14/25 Vegas episode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Days from completion to payment (net-?)</t>
      </text>
    </comment>
    <comment authorId="0" ref="J1">
      <text>
        <t xml:space="preserve">Difference between early estimated # and actual</t>
      </text>
    </comment>
    <comment authorId="0" ref="N1">
      <text>
        <t xml:space="preserve">Q1 - OCT-DEC
Q2 - JAN-MAR
Q3 - APR-JUN
Q4 - JUL-SEP</t>
      </text>
    </comment>
  </commentList>
</comments>
</file>

<file path=xl/sharedStrings.xml><?xml version="1.0" encoding="utf-8"?>
<sst xmlns="http://schemas.openxmlformats.org/spreadsheetml/2006/main" count="332" uniqueCount="137">
  <si>
    <t>💲REVENUE OVERVIEW &amp; TRENDS</t>
  </si>
  <si>
    <t>PAST 90 DAYS</t>
  </si>
  <si>
    <t>PAST 6 MONTHS</t>
  </si>
  <si>
    <t>PAST 12 MONTHS</t>
  </si>
  <si>
    <t>FEB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</si>
  <si>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</si>
  <si>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</si>
  <si>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</si>
  <si>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</si>
  <si>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</si>
  <si>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</si>
  <si>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</si>
  <si>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</si>
  <si>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</si>
  <si>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</si>
  <si>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</si>
  <si>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DEC 24</t>
  </si>
  <si>
    <t>NOV 24</t>
  </si>
  <si>
    <t>OCT 24</t>
  </si>
  <si>
    <t>SEP 24</t>
  </si>
  <si>
    <t>AUG 24</t>
  </si>
  <si>
    <t>JUL 24</t>
  </si>
  <si>
    <t>JUN 24</t>
  </si>
  <si>
    <t>VIDEO</t>
  </si>
  <si>
    <t>YT VIDEOS</t>
  </si>
  <si>
    <t>YT SHORTS</t>
  </si>
  <si>
    <t>YT LIVES</t>
  </si>
  <si>
    <t>CULTURE GENESIS</t>
  </si>
  <si>
    <t>TBD</t>
  </si>
  <si>
    <t>N/A</t>
  </si>
  <si>
    <t>UPTIDES</t>
  </si>
  <si>
    <t>AUDIO</t>
  </si>
  <si>
    <t>BRANDS</t>
  </si>
  <si>
    <t>SOCIAL</t>
  </si>
  <si>
    <t>MERCH</t>
  </si>
  <si>
    <t>TOTAL</t>
  </si>
  <si>
    <t>Completion Date</t>
  </si>
  <si>
    <t>Period</t>
  </si>
  <si>
    <t>Source</t>
  </si>
  <si>
    <t>Type</t>
  </si>
  <si>
    <t>Expected Amount</t>
  </si>
  <si>
    <t>Expected Pay Date</t>
  </si>
  <si>
    <t>Amount</t>
  </si>
  <si>
    <t>Pay Date</t>
  </si>
  <si>
    <t>Pay Time</t>
  </si>
  <si>
    <t>Variance Amount</t>
  </si>
  <si>
    <t>Report</t>
  </si>
  <si>
    <t>RTS Status</t>
  </si>
  <si>
    <t>RDM Status</t>
  </si>
  <si>
    <t>Quarter</t>
  </si>
  <si>
    <t>Notes</t>
  </si>
  <si>
    <t>Backyard Ventures</t>
  </si>
  <si>
    <t>Various</t>
  </si>
  <si>
    <t>Acast</t>
  </si>
  <si>
    <t>DAI</t>
  </si>
  <si>
    <t>Culture Genesis</t>
  </si>
  <si>
    <t>Direct Sold</t>
  </si>
  <si>
    <t>Road Trippin' Podcast_2025-11 (Direct Sold).pdf</t>
  </si>
  <si>
    <t>PAID</t>
  </si>
  <si>
    <t>Q2</t>
  </si>
  <si>
    <t>YouTube</t>
  </si>
  <si>
    <t>AdSense</t>
  </si>
  <si>
    <t>Road Trippin' Podcast_2026-01 (AdSense).pdf</t>
  </si>
  <si>
    <t>UNPAID</t>
  </si>
  <si>
    <t>PENDING</t>
  </si>
  <si>
    <t>Q1</t>
  </si>
  <si>
    <t>Road Trippin' Podcast_2025-12 (Direct Sold).pdf</t>
  </si>
  <si>
    <t>Road Trippin' Podcast_2025-12 (AdSense).pdf</t>
  </si>
  <si>
    <t>Threads</t>
  </si>
  <si>
    <t>Presenting</t>
  </si>
  <si>
    <t>Threads Payment Receipt_2.13.26.jpeg</t>
  </si>
  <si>
    <t>10% of $50k to manager</t>
  </si>
  <si>
    <t>Road Trippin' Podcast_2025-11 (AdSense).pdf</t>
  </si>
  <si>
    <t>Road Trippin' Podcast_2025-10 (Direct Sold).pdf</t>
  </si>
  <si>
    <t>Road Trippin' Podcast_2025-10 (AdSense).pdf</t>
  </si>
  <si>
    <t>Q0</t>
  </si>
  <si>
    <t>Road Trippin' Podcast_2025-09 (Direct Sold).pdf</t>
  </si>
  <si>
    <t>Road Trippin' Podcast_2025-09 (AdSense).pdf</t>
  </si>
  <si>
    <t>Road Trippin' Podcast_2025-08 (Direct Sold).pdf</t>
  </si>
  <si>
    <t>Road Trippin' Podcast_2025-08 (AdSense).pdf</t>
  </si>
  <si>
    <t>Happy Jewelers</t>
  </si>
  <si>
    <t>MONTHLY &amp; QUARTERLY REVENUE</t>
  </si>
  <si>
    <t>Season: Oct 2025 - Sep 2026</t>
  </si>
  <si>
    <t>Month</t>
  </si>
  <si>
    <t>Other</t>
  </si>
  <si>
    <t>MONTHLY TOTAL</t>
  </si>
  <si>
    <t>Oct 2025</t>
  </si>
  <si>
    <t>Nov 2025</t>
  </si>
  <si>
    <t>Dec 2025</t>
  </si>
  <si>
    <t>Q1 (Oct-Dec '25)</t>
  </si>
  <si>
    <t>Jan 2026</t>
  </si>
  <si>
    <t>Feb 2026</t>
  </si>
  <si>
    <t>Mar 2026</t>
  </si>
  <si>
    <t>Q2 (Jan-Mar '26)</t>
  </si>
  <si>
    <t>Apr 2026</t>
  </si>
  <si>
    <t>May 2026</t>
  </si>
  <si>
    <t>Jun 2026</t>
  </si>
  <si>
    <t>Q3 (Apr-Jun '26)</t>
  </si>
  <si>
    <t>Jul 2026</t>
  </si>
  <si>
    <t>Aug 2026</t>
  </si>
  <si>
    <t>Sep 2026</t>
  </si>
  <si>
    <t>Q4 (Jul-Sep '26)</t>
  </si>
  <si>
    <t>SEASON TOTAL</t>
  </si>
  <si>
    <t>REVENUE MIX (FY)</t>
  </si>
  <si>
    <t>% of Revenue</t>
  </si>
  <si>
    <t>Revenue Source</t>
  </si>
  <si>
    <t>Payment Terms</t>
  </si>
  <si>
    <t>Typical Pay Day</t>
  </si>
  <si>
    <t>Min Threshold</t>
  </si>
  <si>
    <t>Contact/Notes</t>
  </si>
  <si>
    <t>Who gets paid</t>
  </si>
  <si>
    <t>YouTube AdSense</t>
  </si>
  <si>
    <t>NET 25</t>
  </si>
  <si>
    <t>21st-26th of month</t>
  </si>
  <si>
    <t>$100</t>
  </si>
  <si>
    <t>payments.google.com - Richard's account</t>
  </si>
  <si>
    <t>RTS Directly</t>
  </si>
  <si>
    <t>NET 45</t>
  </si>
  <si>
    <t>30th of month</t>
  </si>
  <si>
    <t>Direct sold - check contract for terms</t>
  </si>
  <si>
    <t>Acast Audio</t>
  </si>
  <si>
    <t>NET 30-45</t>
  </si>
  <si>
    <t>End of month</t>
  </si>
  <si>
    <t>$50</t>
  </si>
  <si>
    <t>acast.com dashboard - verify payment method</t>
  </si>
  <si>
    <t>RDM; RTS Reimbursed</t>
  </si>
  <si>
    <t>Other/Sponsorships</t>
  </si>
  <si>
    <t>Varies</t>
  </si>
  <si>
    <t>Per contract</t>
  </si>
  <si>
    <t>Track individually per deal</t>
  </si>
  <si>
    <t>Backyad Ventures</t>
  </si>
  <si>
    <t>30-90 net</t>
  </si>
  <si>
    <t>Contact: Zach + John &amp; Kavan</t>
  </si>
  <si>
    <t>15th of every month will get paid, lump sum, review airtable for details</t>
  </si>
  <si>
    <t>Meta/Threads</t>
  </si>
  <si>
    <t>Uptides</t>
  </si>
  <si>
    <t>RDM gets paid from Acast once/month.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</si>
</sst>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"/>
    <numFmt numFmtId="166" formatCode="M/d/yyyy"/>
    <numFmt numFmtId="167" formatCode="mmm d"/>
    <numFmt numFmtId="168" formatCode="_(&quot;$&quot;* #,##0.00_);_(&quot;$&quot;* \(#,##0.00\);_(&quot;$&quot;* &quot;-&quot;??_);_(@_)"/>
    <numFmt numFmtId="169" formatCode="\$#,##0.00"/>
    <numFmt numFmtId="170" formatCode="0.0%"/>
    <numFmt numFmtId="171" formatCode="mmm yyyy"/>
  </numFmts>
  <fonts count="28">
    <font>
      <sz val="11.0"/>
      <color theme="1"/>
      <name val="Calibri"/>
      <scheme val="minor"/>
    </font>
    <font>
      <b/>
      <color theme="1"/>
      <name val="Arial"/>
    </font>
    <font>
      <b/>
      <sz val="18.0"/>
      <color theme="1"/>
      <name val="Barlow Condensed"/>
    </font>
    <font>
      <b/>
      <sz val="14.0"/>
      <color theme="1"/>
      <name val="Barlow Condensed"/>
    </font>
    <font>
      <sz val="13.0"/>
      <color theme="1"/>
      <name val="Barlow Condensed"/>
    </font>
    <font>
      <b/>
      <sz val="12.0"/>
      <color theme="1"/>
      <name val="Barlow Condensed"/>
    </font>
    <font>
      <color theme="1"/>
      <name val="Arial"/>
    </font>
    <font>
      <sz val="12.0"/>
      <color theme="1"/>
      <name val="Barlow Condensed"/>
    </font>
    <font>
      <b/>
      <u/>
      <sz val="12.0"/>
      <color theme="1"/>
      <name val="Barlow Condensed"/>
    </font>
    <font>
      <sz val="13.0"/>
      <color rgb="FF000000"/>
      <name val="Barlow Condensed"/>
    </font>
    <font>
      <sz val="13.0"/>
      <color rgb="FFFF0000"/>
      <name val="Barlow Condensed"/>
    </font>
    <font>
      <sz val="13.0"/>
      <color rgb="FFD9D9D9"/>
      <name val="Barlow Condensed"/>
    </font>
    <font>
      <b/>
      <sz val="13.0"/>
      <color theme="1"/>
      <name val="Barlow Condensed"/>
    </font>
    <font>
      <sz val="13.0"/>
      <color rgb="FF999999"/>
      <name val="Barlow Condensed"/>
    </font>
    <font>
      <color theme="1"/>
      <name val="Barlow Condensed"/>
    </font>
    <font>
      <color theme="1"/>
      <name val="Calibri"/>
      <scheme val="minor"/>
    </font>
    <font>
      <color rgb="FF000000"/>
      <name val="Calibri"/>
      <scheme val="minor"/>
    </font>
    <font>
      <color rgb="FFCCCCCC"/>
      <name val="Calibri"/>
      <scheme val="minor"/>
    </font>
    <font>
      <u/>
      <color theme="1"/>
      <name val="Calibri"/>
      <scheme val="minor"/>
    </font>
    <font>
      <u/>
      <color rgb="FF000000"/>
      <name val="Calibri"/>
      <scheme val="minor"/>
    </font>
    <font>
      <b/>
      <sz val="14.0"/>
      <color rgb="FF1F4E79"/>
      <name val="Cambria"/>
    </font>
    <font>
      <sz val="11.0"/>
      <color theme="1"/>
      <name val="Calibri"/>
    </font>
    <font>
      <i/>
      <sz val="11.0"/>
      <color rgb="FF666666"/>
      <name val="Cambria"/>
    </font>
    <font>
      <b/>
      <sz val="11.0"/>
      <color rgb="FFFFFFFF"/>
      <name val="Cambria"/>
    </font>
    <font>
      <sz val="11.0"/>
      <color theme="1"/>
      <name val="Cambria"/>
    </font>
    <font>
      <b/>
      <sz val="11.0"/>
      <color theme="1"/>
      <name val="Cambria"/>
    </font>
    <font>
      <b/>
      <sz val="12.0"/>
      <color rgb="FF1F4E79"/>
      <name val="Cambria"/>
    </font>
    <font>
      <color rgb="FFFF0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FF203864"/>
        <bgColor rgb="FF203864"/>
      </patternFill>
    </fill>
    <fill>
      <patternFill patternType="solid">
        <fgColor rgb="FFD6DCE5"/>
        <bgColor rgb="FFD6DCE5"/>
      </patternFill>
    </fill>
    <fill>
      <patternFill patternType="solid">
        <fgColor rgb="FF2E75B6"/>
        <bgColor rgb="FF2E75B6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FF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2" fontId="6" numFmtId="0" xfId="0" applyAlignment="1" applyFont="1">
      <alignment vertical="bottom"/>
    </xf>
    <xf borderId="4" fillId="0" fontId="4" numFmtId="49" xfId="0" applyAlignment="1" applyBorder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readingOrder="0" vertical="center"/>
    </xf>
    <xf borderId="5" fillId="0" fontId="4" numFmtId="49" xfId="0" applyAlignment="1" applyBorder="1" applyFont="1" applyNumberFormat="1">
      <alignment horizontal="center" readingOrder="0" vertical="center"/>
    </xf>
    <xf borderId="3" fillId="0" fontId="4" numFmtId="49" xfId="0" applyAlignment="1" applyBorder="1" applyFont="1" applyNumberFormat="1">
      <alignment horizontal="center" readingOrder="0" vertical="center"/>
    </xf>
    <xf borderId="6" fillId="0" fontId="4" numFmtId="49" xfId="0" applyAlignment="1" applyBorder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readingOrder="0" vertical="bottom"/>
    </xf>
    <xf borderId="7" fillId="3" fontId="8" numFmtId="0" xfId="0" applyAlignment="1" applyBorder="1" applyFont="1">
      <alignment horizontal="center" readingOrder="0" vertical="bottom"/>
    </xf>
    <xf borderId="8" fillId="3" fontId="4" numFmtId="164" xfId="0" applyAlignment="1" applyBorder="1" applyFont="1" applyNumberFormat="1">
      <alignment horizontal="center" readingOrder="0" vertical="center"/>
    </xf>
    <xf borderId="9" fillId="3" fontId="4" numFmtId="164" xfId="0" applyAlignment="1" applyBorder="1" applyFont="1" applyNumberFormat="1">
      <alignment horizontal="center" readingOrder="0" vertical="center"/>
    </xf>
    <xf borderId="7" fillId="3" fontId="4" numFmtId="164" xfId="0" applyAlignment="1" applyBorder="1" applyFont="1" applyNumberFormat="1">
      <alignment horizontal="center" readingOrder="0" vertical="center"/>
    </xf>
    <xf borderId="7" fillId="3" fontId="9" numFmtId="164" xfId="0" applyAlignment="1" applyBorder="1" applyFont="1" applyNumberFormat="1">
      <alignment horizontal="center" readingOrder="0" vertical="center"/>
    </xf>
    <xf borderId="10" fillId="3" fontId="7" numFmtId="0" xfId="0" applyAlignment="1" applyBorder="1" applyFont="1">
      <alignment horizontal="center" readingOrder="0" vertical="center"/>
    </xf>
    <xf borderId="10" fillId="0" fontId="4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9" fillId="0" fontId="4" numFmtId="164" xfId="0" applyAlignment="1" applyBorder="1" applyFont="1" applyNumberFormat="1">
      <alignment horizontal="center" readingOrder="0" vertical="center"/>
    </xf>
    <xf borderId="9" fillId="0" fontId="9" numFmtId="164" xfId="0" applyAlignment="1" applyBorder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10" fillId="0" fontId="10" numFmtId="164" xfId="0" applyAlignment="1" applyBorder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9" fillId="0" fontId="11" numFmtId="164" xfId="0" applyAlignment="1" applyBorder="1" applyFont="1" applyNumberFormat="1">
      <alignment horizontal="center" readingOrder="0" vertical="center"/>
    </xf>
    <xf borderId="9" fillId="0" fontId="4" numFmtId="164" xfId="0" applyAlignment="1" applyBorder="1" applyFont="1" applyNumberForma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9" fillId="3" fontId="4" numFmtId="164" xfId="0" applyAlignment="1" applyBorder="1" applyFont="1" applyNumberFormat="1">
      <alignment horizontal="center" readingOrder="0" vertical="center"/>
    </xf>
    <xf borderId="0" fillId="0" fontId="12" numFmtId="3" xfId="0" applyAlignment="1" applyFont="1" applyNumberFormat="1">
      <alignment horizontal="right" vertical="bottom"/>
    </xf>
    <xf borderId="11" fillId="3" fontId="7" numFmtId="0" xfId="0" applyAlignment="1" applyBorder="1" applyFont="1">
      <alignment horizontal="center" readingOrder="0" vertical="center"/>
    </xf>
    <xf borderId="12" fillId="0" fontId="9" numFmtId="164" xfId="0" applyAlignment="1" applyBorder="1" applyFont="1" applyNumberFormat="1">
      <alignment horizontal="center" readingOrder="0" vertical="center"/>
    </xf>
    <xf borderId="11" fillId="0" fontId="11" numFmtId="164" xfId="0" applyAlignment="1" applyBorder="1" applyFont="1" applyNumberFormat="1">
      <alignment horizontal="center" readingOrder="0" vertical="center"/>
    </xf>
    <xf borderId="6" fillId="0" fontId="11" numFmtId="164" xfId="0" applyAlignment="1" applyBorder="1" applyFont="1" applyNumberFormat="1">
      <alignment horizontal="center" readingOrder="0" vertical="center"/>
    </xf>
    <xf borderId="7" fillId="3" fontId="5" numFmtId="0" xfId="0" applyAlignment="1" applyBorder="1" applyFont="1">
      <alignment horizontal="center" readingOrder="0" vertical="bottom"/>
    </xf>
    <xf borderId="11" fillId="0" fontId="13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readingOrder="0" vertical="center"/>
    </xf>
    <xf borderId="7" fillId="0" fontId="11" numFmtId="164" xfId="0" applyAlignment="1" applyBorder="1" applyFont="1" applyNumberForma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0" fillId="0" fontId="9" numFmtId="165" xfId="0" applyAlignment="1" applyFont="1" applyNumberFormat="1">
      <alignment horizontal="center" readingOrder="0" vertical="center"/>
    </xf>
    <xf borderId="2" fillId="0" fontId="11" numFmtId="164" xfId="0" applyAlignment="1" applyBorder="1" applyFont="1" applyNumberFormat="1">
      <alignment horizontal="center" readingOrder="0" vertical="center"/>
    </xf>
    <xf borderId="3" fillId="0" fontId="11" numFmtId="164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readingOrder="0" vertical="bottom"/>
    </xf>
    <xf borderId="13" fillId="3" fontId="5" numFmtId="0" xfId="0" applyAlignment="1" applyBorder="1" applyFont="1">
      <alignment horizontal="center" readingOrder="0" vertical="bottom"/>
    </xf>
    <xf borderId="11" fillId="0" fontId="4" numFmtId="164" xfId="0" applyAlignment="1" applyBorder="1" applyFont="1" applyNumberFormat="1">
      <alignment horizontal="center" readingOrder="0" vertical="center"/>
    </xf>
    <xf borderId="3" fillId="0" fontId="4" numFmtId="164" xfId="0" applyAlignment="1" applyBorder="1" applyFont="1" applyNumberFormat="1">
      <alignment horizontal="center" readingOrder="0" vertical="center"/>
    </xf>
    <xf borderId="3" fillId="3" fontId="4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166" xfId="0" applyAlignment="1" applyFont="1" applyNumberFormat="1">
      <alignment horizontal="center" readingOrder="0" shrinkToFit="0" vertical="center" wrapText="0"/>
    </xf>
    <xf borderId="0" fillId="0" fontId="15" numFmtId="167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168" xfId="0" applyAlignment="1" applyFont="1" applyNumberFormat="1">
      <alignment readingOrder="0" shrinkToFit="0" vertical="center" wrapText="0"/>
    </xf>
    <xf borderId="0" fillId="0" fontId="17" numFmtId="166" xfId="0" applyAlignment="1" applyFont="1" applyNumberFormat="1">
      <alignment readingOrder="0" shrinkToFit="0" vertical="center" wrapText="0"/>
    </xf>
    <xf borderId="0" fillId="0" fontId="17" numFmtId="49" xfId="0" applyAlignment="1" applyFont="1" applyNumberFormat="1">
      <alignment horizontal="center" readingOrder="0" shrinkToFit="0" vertical="center" wrapText="0"/>
    </xf>
    <xf borderId="0" fillId="0" fontId="17" numFmtId="168" xfId="0" applyAlignment="1" applyFont="1" applyNumberFormat="1">
      <alignment shrinkToFit="0" vertical="center" wrapText="0"/>
    </xf>
    <xf borderId="0" fillId="0" fontId="17" numFmtId="49" xfId="0" applyAlignment="1" applyFont="1" applyNumberFormat="1">
      <alignment horizontal="center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49" xfId="0" applyAlignment="1" applyFont="1" applyNumberFormat="1">
      <alignment shrinkToFit="0" vertical="center" wrapText="0"/>
    </xf>
    <xf borderId="0" fillId="0" fontId="17" numFmtId="166" xfId="0" applyAlignment="1" applyFont="1" applyNumberFormat="1">
      <alignment horizontal="center" readingOrder="0" shrinkToFit="0" vertical="center" wrapText="0"/>
    </xf>
    <xf borderId="0" fillId="0" fontId="17" numFmtId="167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166" xfId="0" applyAlignment="1" applyFont="1" applyNumberFormat="1">
      <alignment shrinkToFit="0" vertical="center" wrapText="0"/>
    </xf>
    <xf borderId="0" fillId="4" fontId="15" numFmtId="0" xfId="0" applyFill="1" applyFont="1"/>
    <xf borderId="0" fillId="0" fontId="15" numFmtId="0" xfId="0" applyAlignment="1" applyFont="1">
      <alignment horizontal="center" readingOrder="0" shrinkToFit="0" vertical="center" wrapText="0"/>
    </xf>
    <xf borderId="0" fillId="0" fontId="15" numFmtId="168" xfId="0" applyAlignment="1" applyFont="1" applyNumberFormat="1">
      <alignment readingOrder="0" shrinkToFit="0" vertical="center" wrapText="0"/>
    </xf>
    <xf borderId="0" fillId="0" fontId="15" numFmtId="166" xfId="0" applyAlignment="1" applyFont="1" applyNumberFormat="1">
      <alignment readingOrder="0" shrinkToFit="0" vertical="center" wrapText="0"/>
    </xf>
    <xf borderId="0" fillId="0" fontId="15" numFmtId="166" xfId="0" applyAlignment="1" applyFont="1" applyNumberFormat="1">
      <alignment shrinkToFit="0" vertical="center" wrapText="0"/>
    </xf>
    <xf borderId="0" fillId="0" fontId="15" numFmtId="49" xfId="0" applyAlignment="1" applyFont="1" applyNumberFormat="1">
      <alignment horizontal="center" readingOrder="0" shrinkToFit="0" vertical="center" wrapText="0"/>
    </xf>
    <xf borderId="0" fillId="0" fontId="15" numFmtId="168" xfId="0" applyAlignment="1" applyFont="1" applyNumberFormat="1">
      <alignment shrinkToFit="0" vertical="center" wrapText="0"/>
    </xf>
    <xf borderId="0" fillId="0" fontId="15" numFmtId="49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49" xfId="0" applyAlignment="1" applyFont="1" applyNumberFormat="1">
      <alignment shrinkToFit="0" vertical="center" wrapText="0"/>
    </xf>
    <xf borderId="0" fillId="4" fontId="16" numFmtId="166" xfId="0" applyAlignment="1" applyFont="1" applyNumberFormat="1">
      <alignment horizontal="center" readingOrder="0" shrinkToFit="0" vertical="center" wrapText="0"/>
    </xf>
    <xf borderId="0" fillId="4" fontId="16" numFmtId="167" xfId="0" applyAlignment="1" applyFont="1" applyNumberFormat="1">
      <alignment horizontal="center" readingOrder="0" shrinkToFit="0" vertical="center" wrapText="0"/>
    </xf>
    <xf borderId="0" fillId="4" fontId="15" numFmtId="0" xfId="0" applyAlignment="1" applyFont="1">
      <alignment horizontal="center" readingOrder="0" shrinkToFit="0" vertical="center" wrapText="0"/>
    </xf>
    <xf borderId="0" fillId="4" fontId="16" numFmtId="0" xfId="0" applyAlignment="1" applyFont="1">
      <alignment horizontal="center" readingOrder="0" shrinkToFit="0" vertical="center" wrapText="0"/>
    </xf>
    <xf borderId="0" fillId="4" fontId="16" numFmtId="168" xfId="0" applyAlignment="1" applyFont="1" applyNumberFormat="1">
      <alignment readingOrder="0" shrinkToFit="0" vertical="center" wrapText="0"/>
    </xf>
    <xf borderId="0" fillId="4" fontId="16" numFmtId="166" xfId="0" applyAlignment="1" applyFont="1" applyNumberFormat="1">
      <alignment readingOrder="0" shrinkToFit="0" vertical="center" wrapText="0"/>
    </xf>
    <xf borderId="0" fillId="4" fontId="16" numFmtId="49" xfId="0" applyAlignment="1" applyFont="1" applyNumberFormat="1">
      <alignment horizontal="center" readingOrder="0" shrinkToFit="0" vertical="center" wrapText="0"/>
    </xf>
    <xf borderId="0" fillId="4" fontId="18" numFmtId="0" xfId="0" applyAlignment="1" applyFont="1">
      <alignment horizontal="center" readingOrder="0" shrinkToFit="0" vertical="center" wrapText="0"/>
    </xf>
    <xf borderId="0" fillId="4" fontId="15" numFmtId="0" xfId="0" applyAlignment="1" applyFont="1">
      <alignment horizontal="center" readingOrder="0" shrinkToFit="0" vertical="center" wrapText="0"/>
    </xf>
    <xf borderId="0" fillId="4" fontId="15" numFmtId="49" xfId="0" applyAlignment="1" applyFont="1" applyNumberFormat="1">
      <alignment shrinkToFit="0" vertical="center" wrapText="0"/>
    </xf>
    <xf borderId="0" fillId="4" fontId="17" numFmtId="0" xfId="0" applyAlignment="1" applyFont="1">
      <alignment horizontal="center" readingOrder="0" shrinkToFit="0" vertical="center" wrapText="0"/>
    </xf>
    <xf borderId="0" fillId="4" fontId="15" numFmtId="49" xfId="0" applyAlignment="1" applyFont="1" applyNumberFormat="1">
      <alignment horizontal="center" readingOrder="0" shrinkToFit="0" vertical="center" wrapText="0"/>
    </xf>
    <xf borderId="0" fillId="4" fontId="16" numFmtId="168" xfId="0" applyAlignment="1" applyFont="1" applyNumberFormat="1">
      <alignment shrinkToFit="0" vertical="center" wrapText="0"/>
    </xf>
    <xf borderId="0" fillId="4" fontId="19" numFmtId="0" xfId="0" applyAlignment="1" applyFont="1">
      <alignment horizontal="center" readingOrder="0" shrinkToFit="0" vertical="center" wrapText="0"/>
    </xf>
    <xf borderId="0" fillId="4" fontId="17" numFmtId="0" xfId="0" applyAlignment="1" applyFont="1">
      <alignment horizontal="center" readingOrder="0" shrinkToFit="0" vertical="center" wrapText="0"/>
    </xf>
    <xf borderId="0" fillId="4" fontId="17" numFmtId="49" xfId="0" applyAlignment="1" applyFont="1" applyNumberFormat="1">
      <alignment shrinkToFit="0" vertical="center" wrapText="0"/>
    </xf>
    <xf borderId="0" fillId="0" fontId="17" numFmtId="0" xfId="0" applyFont="1"/>
    <xf borderId="0" fillId="0" fontId="15" numFmtId="166" xfId="0" applyAlignment="1" applyFont="1" applyNumberFormat="1">
      <alignment horizontal="center" readingOrder="0" shrinkToFit="0" vertical="center" wrapText="0"/>
    </xf>
    <xf borderId="0" fillId="4" fontId="17" numFmtId="0" xfId="0" applyFont="1"/>
    <xf borderId="0" fillId="4" fontId="16" numFmtId="49" xfId="0" applyAlignment="1" applyFont="1" applyNumberFormat="1">
      <alignment readingOrder="0" shrinkToFit="0" vertical="center" wrapText="0"/>
    </xf>
    <xf borderId="0" fillId="4" fontId="15" numFmtId="166" xfId="0" applyAlignment="1" applyFont="1" applyNumberFormat="1">
      <alignment horizontal="center" readingOrder="0" shrinkToFit="0" vertical="center" wrapText="0"/>
    </xf>
    <xf borderId="0" fillId="4" fontId="15" numFmtId="167" xfId="0" applyAlignment="1" applyFont="1" applyNumberFormat="1">
      <alignment horizontal="center" readingOrder="0" shrinkToFit="0" vertical="center" wrapText="0"/>
    </xf>
    <xf borderId="0" fillId="4" fontId="15" numFmtId="168" xfId="0" applyAlignment="1" applyFont="1" applyNumberFormat="1">
      <alignment readingOrder="0" shrinkToFit="0" vertical="center" wrapText="0"/>
    </xf>
    <xf borderId="0" fillId="4" fontId="15" numFmtId="166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14" fillId="5" fontId="23" numFmtId="0" xfId="0" applyAlignment="1" applyBorder="1" applyFill="1" applyFont="1">
      <alignment horizontal="center"/>
    </xf>
    <xf borderId="14" fillId="5" fontId="23" numFmtId="0" xfId="0" applyAlignment="1" applyBorder="1" applyFont="1">
      <alignment horizontal="center" readingOrder="0"/>
    </xf>
    <xf borderId="14" fillId="0" fontId="24" numFmtId="0" xfId="0" applyAlignment="1" applyBorder="1" applyFont="1">
      <alignment horizontal="center" vertical="bottom"/>
    </xf>
    <xf borderId="14" fillId="0" fontId="21" numFmtId="169" xfId="0" applyAlignment="1" applyBorder="1" applyFont="1" applyNumberFormat="1">
      <alignment horizontal="right" vertical="bottom"/>
    </xf>
    <xf borderId="14" fillId="6" fontId="23" numFmtId="0" xfId="0" applyAlignment="1" applyBorder="1" applyFill="1" applyFont="1">
      <alignment vertical="bottom"/>
    </xf>
    <xf borderId="14" fillId="6" fontId="23" numFmtId="169" xfId="0" applyAlignment="1" applyBorder="1" applyFont="1" applyNumberFormat="1">
      <alignment horizontal="right" vertical="bottom"/>
    </xf>
    <xf borderId="14" fillId="7" fontId="25" numFmtId="0" xfId="0" applyAlignment="1" applyBorder="1" applyFill="1" applyFont="1">
      <alignment readingOrder="0" vertical="bottom"/>
    </xf>
    <xf borderId="14" fillId="7" fontId="25" numFmtId="169" xfId="0" applyAlignment="1" applyBorder="1" applyFont="1" applyNumberFormat="1">
      <alignment horizontal="right" vertical="bottom"/>
    </xf>
    <xf borderId="0" fillId="0" fontId="26" numFmtId="0" xfId="0" applyAlignment="1" applyFont="1">
      <alignment vertical="bottom"/>
    </xf>
    <xf borderId="14" fillId="8" fontId="23" numFmtId="0" xfId="0" applyAlignment="1" applyBorder="1" applyFill="1" applyFont="1">
      <alignment vertical="bottom"/>
    </xf>
    <xf borderId="14" fillId="8" fontId="23" numFmtId="0" xfId="0" applyAlignment="1" applyBorder="1" applyFont="1">
      <alignment readingOrder="0" vertical="bottom"/>
    </xf>
    <xf borderId="14" fillId="0" fontId="21" numFmtId="0" xfId="0" applyAlignment="1" applyBorder="1" applyFont="1">
      <alignment readingOrder="0" vertical="bottom"/>
    </xf>
    <xf borderId="14" fillId="0" fontId="21" numFmtId="170" xfId="0" applyAlignment="1" applyBorder="1" applyFont="1" applyNumberFormat="1">
      <alignment horizontal="right" vertical="bottom"/>
    </xf>
    <xf borderId="14" fillId="0" fontId="21" numFmtId="0" xfId="0" applyAlignment="1" applyBorder="1" applyFont="1">
      <alignment vertical="bottom"/>
    </xf>
    <xf borderId="14" fillId="5" fontId="23" numFmtId="0" xfId="0" applyAlignment="1" applyBorder="1" applyFont="1">
      <alignment horizontal="center" shrinkToFit="0" vertical="bottom" wrapText="0"/>
    </xf>
    <xf borderId="0" fillId="5" fontId="23" numFmtId="0" xfId="0" applyAlignment="1" applyFont="1">
      <alignment horizontal="center" readingOrder="0" shrinkToFit="0" vertical="bottom" wrapText="0"/>
    </xf>
    <xf borderId="14" fillId="0" fontId="25" numFmtId="0" xfId="0" applyAlignment="1" applyBorder="1" applyFont="1">
      <alignment shrinkToFit="0" vertical="bottom" wrapText="0"/>
    </xf>
    <xf borderId="14" fillId="0" fontId="21" numFmtId="0" xfId="0" applyAlignment="1" applyBorder="1" applyFont="1">
      <alignment readingOrder="0" shrinkToFit="0" vertical="bottom" wrapText="0"/>
    </xf>
    <xf borderId="14" fillId="0" fontId="21" numFmtId="0" xfId="0" applyAlignment="1" applyBorder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0" fillId="0" fontId="27" numFmtId="0" xfId="0" applyAlignment="1" applyFont="1">
      <alignment readingOrder="0"/>
    </xf>
    <xf borderId="14" fillId="0" fontId="24" numFmtId="171" xfId="0" applyAlignment="1" applyBorder="1" applyFont="1" applyNumberFormat="1">
      <alignment horizontal="center" readingOrder="0" vertical="bottom"/>
    </xf>
    <xf borderId="14" fillId="0" fontId="21" numFmtId="169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1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  <tableStyles count="1">
    <tableStyle count="4" pivot="0" name="💸 Pay Tracker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52</xdr:row>
      <xdr:rowOff>133350</xdr:rowOff>
    </xdr:from>
    <xdr:ext cx="8782050" cy="3467100"/>
    <xdr:pic>
      <xdr:nvPicPr>
        <xdr:cNvPr id="148117792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15</xdr:row>
      <xdr:rowOff>0</xdr:rowOff>
    </xdr:from>
    <xdr:ext cx="8782050" cy="3467100"/>
    <xdr:pic>
      <xdr:nvPicPr>
        <xdr:cNvPr id="78274457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33</xdr:row>
      <xdr:rowOff>161925</xdr:rowOff>
    </xdr:from>
    <xdr:ext cx="8782050" cy="3467100"/>
    <xdr:pic>
      <xdr:nvPicPr>
        <xdr:cNvPr id="179446570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76200</xdr:rowOff>
    </xdr:from>
    <xdr:ext cx="838200" cy="5619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4" displayName="Payment_Tracker" name="Payment_Tracker" id="1">
  <tableColumns count="15">
    <tableColumn name="Completion Date" id="1"/>
    <tableColumn name="Period" id="2"/>
    <tableColumn name="Source" id="3"/>
    <tableColumn name="Type" id="4"/>
    <tableColumn name="Expected Amount" id="5"/>
    <tableColumn name="Expected Pay Date" id="6"/>
    <tableColumn name="Amount" id="7"/>
    <tableColumn name="Pay Date" id="8"/>
    <tableColumn name="Pay Time" id="9"/>
    <tableColumn name="Variance Amount" id="10"/>
    <tableColumn name="Report" id="11"/>
    <tableColumn name="RTS Status" id="12"/>
    <tableColumn name="RDM Status" id="13"/>
    <tableColumn name="Quarter" id="14"/>
    <tableColumn name="Notes" id="15"/>
  </tableColumns>
  <tableStyleInfo name="💸 Pay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c_UhhP6LJZOtC2US-I96k3vZbirKsAtr" TargetMode="External"/><Relationship Id="rId10" Type="http://schemas.openxmlformats.org/officeDocument/2006/relationships/hyperlink" Target="https://drive.google.com/open?id=1flr189AoxiW-RWWMt2H4vugqzEpYBYkl" TargetMode="External"/><Relationship Id="rId13" Type="http://schemas.openxmlformats.org/officeDocument/2006/relationships/hyperlink" Target="https://drive.google.com/open?id=11Md3bEx8JWv0QW6gUh-7tWmUpPdiTKvQ" TargetMode="External"/><Relationship Id="rId12" Type="http://schemas.openxmlformats.org/officeDocument/2006/relationships/hyperlink" Target="https://drive.google.com/open?id=1Hn9TBPYBPfmIRvegXlR2d8ZIeNjrLZUC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5reX6puCowSRkd_VioIPPzWKLvWDzqzn" TargetMode="External"/><Relationship Id="rId3" Type="http://schemas.openxmlformats.org/officeDocument/2006/relationships/hyperlink" Target="https://drive.google.com/open?id=1VnVSFPB4YENKQF6FD8lL1vdi1Roew7cc" TargetMode="External"/><Relationship Id="rId4" Type="http://schemas.openxmlformats.org/officeDocument/2006/relationships/hyperlink" Target="https://drive.google.com/open?id=1hnjADx_CpXy5Z3NPbMhSYF_7gB_EBFcf" TargetMode="External"/><Relationship Id="rId9" Type="http://schemas.openxmlformats.org/officeDocument/2006/relationships/hyperlink" Target="https://drive.google.com/open?id=1SuKf93wN5U58tCUr1Dwdh2dfNK084rTv" TargetMode="External"/><Relationship Id="rId15" Type="http://schemas.openxmlformats.org/officeDocument/2006/relationships/vmlDrawing" Target="../drawings/vmlDrawing2.vml"/><Relationship Id="rId14" Type="http://schemas.openxmlformats.org/officeDocument/2006/relationships/drawing" Target="../drawings/drawing2.xml"/><Relationship Id="rId17" Type="http://schemas.openxmlformats.org/officeDocument/2006/relationships/table" Target="../tables/table1.xml"/><Relationship Id="rId5" Type="http://schemas.openxmlformats.org/officeDocument/2006/relationships/hyperlink" Target="https://drive.google.com/open?id=1l9l2SRYQAGcBGS7ZiRZaBCA56aOpo6cV" TargetMode="External"/><Relationship Id="rId6" Type="http://schemas.openxmlformats.org/officeDocument/2006/relationships/hyperlink" Target="https://drive.google.com/open?id=1F0EYKZrz3-QdPcwod90JS19VSXIVj2-j" TargetMode="External"/><Relationship Id="rId7" Type="http://schemas.openxmlformats.org/officeDocument/2006/relationships/hyperlink" Target="https://drive.google.com/open?id=1K6RaISGloWsa8Ce6cutJWdw-YjUXthXI" TargetMode="External"/><Relationship Id="rId8" Type="http://schemas.openxmlformats.org/officeDocument/2006/relationships/hyperlink" Target="https://drive.google.com/open?id=17ouLj3T2aIRCFavGX2JA4BgQ_aLcBqx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1.0"/>
    <col customWidth="1" min="3" max="10" width="10.0"/>
    <col customWidth="1" min="11" max="11" width="9.14"/>
    <col customWidth="1" min="12" max="12" width="9.0"/>
    <col customWidth="1" min="13" max="13" width="9.29"/>
    <col customWidth="1" hidden="1" min="14" max="14" width="9.0"/>
    <col customWidth="1" hidden="1" min="15" max="15" width="9.57"/>
    <col customWidth="1" hidden="1" min="16" max="16" width="10.29"/>
    <col customWidth="1" hidden="1" min="17" max="18" width="10.43"/>
    <col customWidth="1" hidden="1" min="19" max="19" width="10.71"/>
    <col customWidth="1" hidden="1" min="20" max="20" width="10.29"/>
    <col customWidth="1" hidden="1" min="21" max="21" width="11.14"/>
    <col customWidth="1" hidden="1" min="22" max="22" width="11.29"/>
    <col customWidth="1" min="23" max="23" width="4.0"/>
    <col customWidth="1" min="24" max="39" width="12.29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4"/>
      <c r="P1" s="5"/>
      <c r="Q1" s="5"/>
      <c r="R1" s="4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1"/>
      <c r="B2" s="7"/>
      <c r="C2" s="8" t="s">
        <v>1</v>
      </c>
      <c r="D2" s="9"/>
      <c r="E2" s="10"/>
      <c r="F2" s="8" t="s">
        <v>2</v>
      </c>
      <c r="G2" s="9"/>
      <c r="H2" s="10"/>
      <c r="I2" s="8" t="s">
        <v>3</v>
      </c>
      <c r="J2" s="9"/>
      <c r="K2" s="9"/>
      <c r="L2" s="9"/>
      <c r="M2" s="10"/>
      <c r="N2" s="10"/>
      <c r="O2" s="9"/>
      <c r="P2" s="10"/>
      <c r="Q2" s="10"/>
      <c r="R2" s="10"/>
      <c r="S2" s="10"/>
      <c r="T2" s="9"/>
      <c r="U2" s="10"/>
      <c r="V2" s="11"/>
      <c r="W2" s="12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>
      <c r="A3" s="13"/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5" t="s">
        <v>13</v>
      </c>
      <c r="L3" s="15" t="s">
        <v>14</v>
      </c>
      <c r="M3" s="16" t="s">
        <v>15</v>
      </c>
      <c r="N3" s="17" t="s">
        <v>4</v>
      </c>
      <c r="O3" s="17" t="s">
        <v>5</v>
      </c>
      <c r="P3" s="16" t="s">
        <v>16</v>
      </c>
      <c r="Q3" s="17" t="s">
        <v>17</v>
      </c>
      <c r="R3" s="18" t="s">
        <v>18</v>
      </c>
      <c r="S3" s="17" t="s">
        <v>19</v>
      </c>
      <c r="T3" s="16" t="s">
        <v>20</v>
      </c>
      <c r="U3" s="17" t="s">
        <v>21</v>
      </c>
      <c r="V3" s="16" t="s">
        <v>22</v>
      </c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>
      <c r="A4" s="20" t="s">
        <v>23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  <c r="N4" s="23"/>
      <c r="O4" s="23"/>
      <c r="P4" s="22"/>
      <c r="Q4" s="23"/>
      <c r="R4" s="23"/>
      <c r="S4" s="24"/>
      <c r="T4" s="23"/>
      <c r="U4" s="23"/>
      <c r="V4" s="2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>
      <c r="A5" s="25" t="s">
        <v>24</v>
      </c>
      <c r="B5" s="26">
        <v>3528.49</v>
      </c>
      <c r="C5" s="27">
        <v>4193.08</v>
      </c>
      <c r="D5" s="27">
        <v>14418.95</v>
      </c>
      <c r="E5" s="27">
        <v>7986.27</v>
      </c>
      <c r="F5" s="27">
        <v>4882.45</v>
      </c>
      <c r="G5" s="27">
        <v>2508.56</v>
      </c>
      <c r="H5" s="27">
        <v>5206.7</v>
      </c>
      <c r="I5" s="27">
        <v>7649.82</v>
      </c>
      <c r="J5" s="27">
        <v>3012.39</v>
      </c>
      <c r="K5" s="27">
        <v>3811.41</v>
      </c>
      <c r="L5" s="27">
        <v>784.31</v>
      </c>
      <c r="M5" s="28">
        <v>2319.51</v>
      </c>
      <c r="N5" s="28">
        <v>155.61</v>
      </c>
      <c r="O5" s="28">
        <v>105.36</v>
      </c>
      <c r="P5" s="28">
        <v>98.28</v>
      </c>
      <c r="Q5" s="28">
        <v>228.9</v>
      </c>
      <c r="R5" s="28">
        <v>200.99</v>
      </c>
      <c r="S5" s="29">
        <v>310.61</v>
      </c>
      <c r="T5" s="28">
        <v>2135.04</v>
      </c>
      <c r="U5" s="28">
        <v>1745.68</v>
      </c>
      <c r="V5" s="28">
        <v>2662.66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ht="21.0" customHeight="1">
      <c r="A6" s="30" t="s">
        <v>25</v>
      </c>
      <c r="B6" s="26">
        <v>284.47</v>
      </c>
      <c r="C6" s="27">
        <v>182.65</v>
      </c>
      <c r="D6" s="27">
        <v>277.36</v>
      </c>
      <c r="E6" s="27">
        <v>234.24</v>
      </c>
      <c r="F6" s="27">
        <v>108.64</v>
      </c>
      <c r="G6" s="27">
        <v>81.51</v>
      </c>
      <c r="H6" s="27">
        <v>236.08</v>
      </c>
      <c r="I6" s="27">
        <v>243.56</v>
      </c>
      <c r="J6" s="27">
        <v>75.32</v>
      </c>
      <c r="K6" s="27">
        <v>18.7</v>
      </c>
      <c r="L6" s="27">
        <v>12.98</v>
      </c>
      <c r="M6" s="28">
        <v>20.86</v>
      </c>
      <c r="N6" s="28">
        <v>10.68</v>
      </c>
      <c r="O6" s="28">
        <v>6.18</v>
      </c>
      <c r="P6" s="28">
        <v>5.42</v>
      </c>
      <c r="Q6" s="28">
        <v>3.96</v>
      </c>
      <c r="R6" s="28">
        <v>2.18</v>
      </c>
      <c r="S6" s="28">
        <v>2.09</v>
      </c>
      <c r="T6" s="28">
        <v>5.11</v>
      </c>
      <c r="U6" s="28">
        <v>2.73</v>
      </c>
      <c r="V6" s="28">
        <v>9.28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>
      <c r="A7" s="30" t="s">
        <v>26</v>
      </c>
      <c r="B7" s="26">
        <v>3774.16</v>
      </c>
      <c r="C7" s="27">
        <v>878.91</v>
      </c>
      <c r="D7" s="27">
        <v>1.28</v>
      </c>
      <c r="E7" s="27">
        <v>1.29</v>
      </c>
      <c r="F7" s="27">
        <v>0.82</v>
      </c>
      <c r="G7" s="27">
        <v>1.42</v>
      </c>
      <c r="H7" s="27">
        <v>1.4</v>
      </c>
      <c r="I7" s="27">
        <v>2.18</v>
      </c>
      <c r="J7" s="27">
        <v>180.18</v>
      </c>
      <c r="K7" s="27">
        <v>31.21</v>
      </c>
      <c r="L7" s="27">
        <v>42.47</v>
      </c>
      <c r="M7" s="28">
        <v>8.46</v>
      </c>
      <c r="N7" s="28">
        <v>186.16</v>
      </c>
      <c r="O7" s="28">
        <v>3.47</v>
      </c>
      <c r="P7" s="28">
        <v>14.26</v>
      </c>
      <c r="Q7" s="28">
        <v>6.38</v>
      </c>
      <c r="R7" s="28">
        <v>134.5</v>
      </c>
      <c r="S7" s="28">
        <v>8.16</v>
      </c>
      <c r="T7" s="28">
        <v>1702.04</v>
      </c>
      <c r="U7" s="28">
        <v>1210.78</v>
      </c>
      <c r="V7" s="28">
        <v>3030.49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>
      <c r="A8" s="30" t="s">
        <v>27</v>
      </c>
      <c r="B8" s="31" t="s">
        <v>28</v>
      </c>
      <c r="C8" s="32">
        <v>676.74</v>
      </c>
      <c r="D8" s="32">
        <v>2887.07</v>
      </c>
      <c r="E8" s="27">
        <v>3155.81</v>
      </c>
      <c r="F8" s="27">
        <v>1520.75</v>
      </c>
      <c r="G8" s="27">
        <v>365.06</v>
      </c>
      <c r="H8" s="27">
        <v>714.93</v>
      </c>
      <c r="I8" s="33" t="s">
        <v>29</v>
      </c>
      <c r="J8" s="33" t="s">
        <v>29</v>
      </c>
      <c r="K8" s="33" t="s">
        <v>29</v>
      </c>
      <c r="L8" s="33" t="s">
        <v>29</v>
      </c>
      <c r="M8" s="34" t="s">
        <v>29</v>
      </c>
      <c r="N8" s="34" t="s">
        <v>29</v>
      </c>
      <c r="O8" s="35" t="s">
        <v>29</v>
      </c>
      <c r="P8" s="36" t="s">
        <v>29</v>
      </c>
      <c r="Q8" s="35" t="s">
        <v>29</v>
      </c>
      <c r="R8" s="35" t="s">
        <v>29</v>
      </c>
      <c r="S8" s="35" t="s">
        <v>29</v>
      </c>
      <c r="T8" s="35" t="s">
        <v>29</v>
      </c>
      <c r="U8" s="35" t="s">
        <v>29</v>
      </c>
      <c r="V8" s="37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</row>
    <row r="9">
      <c r="A9" s="39" t="s">
        <v>30</v>
      </c>
      <c r="B9" s="40">
        <v>7.68</v>
      </c>
      <c r="C9" s="41" t="s">
        <v>29</v>
      </c>
      <c r="D9" s="41" t="s">
        <v>29</v>
      </c>
      <c r="E9" s="41" t="s">
        <v>29</v>
      </c>
      <c r="F9" s="41" t="s">
        <v>29</v>
      </c>
      <c r="G9" s="41" t="s">
        <v>29</v>
      </c>
      <c r="H9" s="41" t="s">
        <v>29</v>
      </c>
      <c r="I9" s="41" t="s">
        <v>29</v>
      </c>
      <c r="J9" s="41" t="s">
        <v>29</v>
      </c>
      <c r="K9" s="41" t="s">
        <v>29</v>
      </c>
      <c r="L9" s="41" t="s">
        <v>29</v>
      </c>
      <c r="M9" s="42" t="s">
        <v>29</v>
      </c>
      <c r="N9" s="42" t="s">
        <v>29</v>
      </c>
      <c r="O9" s="34"/>
      <c r="P9" s="42"/>
      <c r="Q9" s="34"/>
      <c r="R9" s="28"/>
      <c r="S9" s="28"/>
      <c r="T9" s="28"/>
      <c r="U9" s="28"/>
      <c r="V9" s="28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>
      <c r="A10" s="43" t="s">
        <v>31</v>
      </c>
      <c r="B10" s="44">
        <v>0.0</v>
      </c>
      <c r="C10" s="45">
        <v>631.81</v>
      </c>
      <c r="D10" s="45">
        <v>1441.56</v>
      </c>
      <c r="E10" s="45">
        <v>2218.64</v>
      </c>
      <c r="F10" s="45">
        <v>837.92</v>
      </c>
      <c r="G10" s="45">
        <v>918.7</v>
      </c>
      <c r="H10" s="45">
        <v>89.6</v>
      </c>
      <c r="I10" s="33" t="s">
        <v>29</v>
      </c>
      <c r="J10" s="33" t="s">
        <v>29</v>
      </c>
      <c r="K10" s="33" t="s">
        <v>29</v>
      </c>
      <c r="L10" s="33" t="s">
        <v>29</v>
      </c>
      <c r="M10" s="42" t="s">
        <v>29</v>
      </c>
      <c r="N10" s="34" t="s">
        <v>29</v>
      </c>
      <c r="O10" s="46" t="s">
        <v>29</v>
      </c>
      <c r="P10" s="42" t="s">
        <v>29</v>
      </c>
      <c r="Q10" s="34" t="s">
        <v>29</v>
      </c>
      <c r="R10" s="28" t="s">
        <v>29</v>
      </c>
      <c r="S10" s="28" t="s">
        <v>29</v>
      </c>
      <c r="T10" s="28" t="s">
        <v>29</v>
      </c>
      <c r="U10" s="28" t="s">
        <v>29</v>
      </c>
      <c r="V10" s="47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>
      <c r="A11" s="43" t="s">
        <v>32</v>
      </c>
      <c r="B11" s="48">
        <v>45000.0</v>
      </c>
      <c r="C11" s="49" t="s">
        <v>29</v>
      </c>
      <c r="D11" s="49" t="s">
        <v>29</v>
      </c>
      <c r="E11" s="49" t="s">
        <v>29</v>
      </c>
      <c r="F11" s="49" t="s">
        <v>29</v>
      </c>
      <c r="G11" s="49" t="s">
        <v>29</v>
      </c>
      <c r="H11" s="49" t="s">
        <v>29</v>
      </c>
      <c r="I11" s="49" t="s">
        <v>29</v>
      </c>
      <c r="J11" s="49" t="s">
        <v>29</v>
      </c>
      <c r="K11" s="49" t="s">
        <v>29</v>
      </c>
      <c r="L11" s="49" t="s">
        <v>29</v>
      </c>
      <c r="M11" s="50" t="s">
        <v>29</v>
      </c>
      <c r="N11" s="49" t="s">
        <v>29</v>
      </c>
      <c r="O11" s="46"/>
      <c r="P11" s="42"/>
      <c r="Q11" s="34"/>
      <c r="R11" s="28"/>
      <c r="S11" s="28"/>
      <c r="T11" s="28"/>
      <c r="U11" s="28"/>
      <c r="V11" s="47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>
      <c r="A12" s="43" t="s">
        <v>33</v>
      </c>
      <c r="B12" s="49" t="s">
        <v>29</v>
      </c>
      <c r="C12" s="49" t="s">
        <v>29</v>
      </c>
      <c r="D12" s="49" t="s">
        <v>29</v>
      </c>
      <c r="E12" s="49" t="s">
        <v>29</v>
      </c>
      <c r="F12" s="49" t="s">
        <v>29</v>
      </c>
      <c r="G12" s="49" t="s">
        <v>29</v>
      </c>
      <c r="H12" s="49" t="s">
        <v>29</v>
      </c>
      <c r="I12" s="49" t="s">
        <v>29</v>
      </c>
      <c r="J12" s="49" t="s">
        <v>29</v>
      </c>
      <c r="K12" s="49" t="s">
        <v>29</v>
      </c>
      <c r="L12" s="49" t="s">
        <v>29</v>
      </c>
      <c r="M12" s="50" t="s">
        <v>29</v>
      </c>
      <c r="N12" s="50" t="s">
        <v>29</v>
      </c>
      <c r="O12" s="50" t="s">
        <v>29</v>
      </c>
      <c r="P12" s="42" t="s">
        <v>29</v>
      </c>
      <c r="Q12" s="42" t="s">
        <v>29</v>
      </c>
      <c r="R12" s="47" t="s">
        <v>29</v>
      </c>
      <c r="S12" s="47" t="s">
        <v>29</v>
      </c>
      <c r="T12" s="47" t="s">
        <v>29</v>
      </c>
      <c r="U12" s="47" t="s">
        <v>29</v>
      </c>
      <c r="V12" s="47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>
      <c r="A13" s="51" t="s">
        <v>34</v>
      </c>
      <c r="B13" s="49" t="s">
        <v>29</v>
      </c>
      <c r="C13" s="41" t="s">
        <v>29</v>
      </c>
      <c r="D13" s="41" t="s">
        <v>29</v>
      </c>
      <c r="E13" s="41" t="s">
        <v>29</v>
      </c>
      <c r="F13" s="41" t="s">
        <v>29</v>
      </c>
      <c r="G13" s="41" t="s">
        <v>29</v>
      </c>
      <c r="H13" s="41" t="s">
        <v>29</v>
      </c>
      <c r="I13" s="41" t="s">
        <v>29</v>
      </c>
      <c r="J13" s="41" t="s">
        <v>29</v>
      </c>
      <c r="K13" s="41" t="s">
        <v>29</v>
      </c>
      <c r="L13" s="41" t="s">
        <v>29</v>
      </c>
      <c r="M13" s="42" t="s">
        <v>29</v>
      </c>
      <c r="N13" s="42" t="s">
        <v>29</v>
      </c>
      <c r="O13" s="42" t="s">
        <v>29</v>
      </c>
      <c r="P13" s="42" t="s">
        <v>29</v>
      </c>
      <c r="Q13" s="42" t="s">
        <v>29</v>
      </c>
      <c r="R13" s="47"/>
      <c r="S13" s="47"/>
      <c r="T13" s="47"/>
      <c r="U13" s="47"/>
      <c r="V13" s="47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>
      <c r="A14" s="52" t="s">
        <v>35</v>
      </c>
      <c r="B14" s="53">
        <f>SUM(B5:B8,B10:B13)</f>
        <v>52587.12</v>
      </c>
      <c r="C14" s="53">
        <f t="shared" ref="C14:O14" si="1">SUM(C5:C13)</f>
        <v>6563.19</v>
      </c>
      <c r="D14" s="53">
        <f t="shared" si="1"/>
        <v>19026.22</v>
      </c>
      <c r="E14" s="53">
        <f t="shared" si="1"/>
        <v>13596.25</v>
      </c>
      <c r="F14" s="53">
        <f t="shared" si="1"/>
        <v>7350.58</v>
      </c>
      <c r="G14" s="53">
        <f t="shared" si="1"/>
        <v>3875.25</v>
      </c>
      <c r="H14" s="53">
        <f t="shared" si="1"/>
        <v>6248.71</v>
      </c>
      <c r="I14" s="53">
        <f t="shared" si="1"/>
        <v>7895.56</v>
      </c>
      <c r="J14" s="53">
        <f t="shared" si="1"/>
        <v>3267.89</v>
      </c>
      <c r="K14" s="53">
        <f t="shared" si="1"/>
        <v>3861.32</v>
      </c>
      <c r="L14" s="53">
        <f t="shared" si="1"/>
        <v>839.76</v>
      </c>
      <c r="M14" s="36">
        <f t="shared" si="1"/>
        <v>2348.83</v>
      </c>
      <c r="N14" s="36">
        <f t="shared" si="1"/>
        <v>352.45</v>
      </c>
      <c r="O14" s="53">
        <f t="shared" si="1"/>
        <v>115.01</v>
      </c>
      <c r="P14" s="36">
        <f t="shared" ref="P14:U14" si="2">SUM(P5:P7)</f>
        <v>117.96</v>
      </c>
      <c r="Q14" s="54">
        <f t="shared" si="2"/>
        <v>239.24</v>
      </c>
      <c r="R14" s="54">
        <f t="shared" si="2"/>
        <v>337.67</v>
      </c>
      <c r="S14" s="54">
        <f t="shared" si="2"/>
        <v>320.86</v>
      </c>
      <c r="T14" s="54">
        <f t="shared" si="2"/>
        <v>3842.19</v>
      </c>
      <c r="U14" s="54">
        <f t="shared" si="2"/>
        <v>2959.19</v>
      </c>
      <c r="V14" s="55">
        <f>SUM(V7)</f>
        <v>3030.49</v>
      </c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</row>
  </sheetData>
  <conditionalFormatting sqref="O8:V8 B14:V14">
    <cfRule type="cellIs" dxfId="0" priority="1" operator="greaterThanOrEqual">
      <formula>4000</formula>
    </cfRule>
  </conditionalFormatting>
  <conditionalFormatting sqref="O8:V8 B14:V14">
    <cfRule type="cellIs" dxfId="1" priority="2" operator="between">
      <formula>3999</formula>
      <formula>3000</formula>
    </cfRule>
  </conditionalFormatting>
  <conditionalFormatting sqref="V16:AM16">
    <cfRule type="notContainsBlanks" dxfId="2" priority="3">
      <formula>LEN(TRIM(V16))&gt;0</formula>
    </cfRule>
  </conditionalFormatting>
  <conditionalFormatting sqref="O8:V8 B14:V14">
    <cfRule type="cellIs" dxfId="3" priority="4" operator="between">
      <formula>3000</formula>
      <formula>1000</formula>
    </cfRule>
  </conditionalFormatting>
  <conditionalFormatting sqref="O8:V8 B14:V14">
    <cfRule type="cellIs" dxfId="4" priority="5" operator="lessThanOrEqual">
      <formula>999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2.57"/>
    <col customWidth="1" min="3" max="3" width="24.71"/>
    <col customWidth="1" min="4" max="4" width="18.14"/>
    <col customWidth="1" hidden="1" min="5" max="5" width="21.14"/>
    <col customWidth="1" hidden="1" min="6" max="6" width="15.71"/>
    <col customWidth="1" min="7" max="7" width="18.29"/>
    <col customWidth="1" min="8" max="8" width="15.43"/>
    <col customWidth="1" min="9" max="9" width="15.14"/>
    <col customWidth="1" hidden="1" min="10" max="10" width="15.86"/>
    <col customWidth="1" min="11" max="11" width="12.71"/>
    <col customWidth="1" min="12" max="13" width="21.57"/>
    <col customWidth="1" min="14" max="14" width="13.86"/>
    <col customWidth="1" min="15" max="15" width="25.86"/>
    <col customWidth="1" min="16" max="16" width="17.29"/>
  </cols>
  <sheetData>
    <row r="1" ht="22.5" customHeight="1">
      <c r="A1" s="58" t="s">
        <v>36</v>
      </c>
      <c r="B1" s="58" t="s">
        <v>37</v>
      </c>
      <c r="C1" s="59" t="s">
        <v>38</v>
      </c>
      <c r="D1" s="59" t="s">
        <v>39</v>
      </c>
      <c r="E1" s="58" t="s">
        <v>40</v>
      </c>
      <c r="F1" s="58" t="s">
        <v>41</v>
      </c>
      <c r="G1" s="58" t="s">
        <v>42</v>
      </c>
      <c r="H1" s="58" t="s">
        <v>43</v>
      </c>
      <c r="I1" s="58" t="s">
        <v>44</v>
      </c>
      <c r="J1" s="58" t="s">
        <v>45</v>
      </c>
      <c r="K1" s="58" t="s">
        <v>46</v>
      </c>
      <c r="L1" s="58" t="s">
        <v>47</v>
      </c>
      <c r="M1" s="58" t="s">
        <v>48</v>
      </c>
      <c r="N1" s="59" t="s">
        <v>49</v>
      </c>
      <c r="O1" s="58" t="s">
        <v>50</v>
      </c>
    </row>
    <row r="2" ht="22.5" customHeight="1">
      <c r="A2" s="60">
        <v>46127.0</v>
      </c>
      <c r="B2" s="61"/>
      <c r="C2" s="62" t="s">
        <v>51</v>
      </c>
      <c r="D2" s="62" t="s">
        <v>52</v>
      </c>
      <c r="E2" s="63"/>
      <c r="F2" s="64"/>
      <c r="G2" s="63"/>
      <c r="H2" s="64">
        <v>46127.0</v>
      </c>
      <c r="I2" s="65"/>
      <c r="J2" s="66"/>
      <c r="K2" s="67"/>
      <c r="L2" s="68"/>
      <c r="M2" s="68"/>
      <c r="N2" s="68"/>
      <c r="O2" s="69"/>
    </row>
    <row r="3" ht="22.5" customHeight="1">
      <c r="A3" s="70">
        <v>46112.0</v>
      </c>
      <c r="B3" s="71">
        <v>46107.0</v>
      </c>
      <c r="C3" s="62"/>
      <c r="D3" s="72"/>
      <c r="E3" s="63"/>
      <c r="F3" s="64"/>
      <c r="G3" s="63"/>
      <c r="H3" s="73"/>
      <c r="I3" s="65"/>
      <c r="J3" s="66"/>
      <c r="K3" s="67"/>
      <c r="L3" s="68"/>
      <c r="M3" s="68"/>
      <c r="N3" s="62"/>
      <c r="O3" s="69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</row>
    <row r="4" ht="22.5" customHeight="1">
      <c r="A4" s="70">
        <v>46081.0</v>
      </c>
      <c r="B4" s="71">
        <v>46079.0</v>
      </c>
      <c r="C4" s="75" t="s">
        <v>53</v>
      </c>
      <c r="D4" s="75" t="s">
        <v>54</v>
      </c>
      <c r="E4" s="76">
        <v>0.0</v>
      </c>
      <c r="F4" s="77"/>
      <c r="G4" s="76"/>
      <c r="H4" s="78"/>
      <c r="I4" s="79"/>
      <c r="J4" s="80"/>
      <c r="K4" s="81"/>
      <c r="L4" s="82"/>
      <c r="M4" s="82"/>
      <c r="N4" s="82"/>
      <c r="O4" s="83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</row>
    <row r="5" ht="22.5" customHeight="1">
      <c r="A5" s="70">
        <v>46081.0</v>
      </c>
      <c r="B5" s="71">
        <v>46079.0</v>
      </c>
      <c r="C5" s="62"/>
      <c r="D5" s="72"/>
      <c r="E5" s="63"/>
      <c r="F5" s="64"/>
      <c r="G5" s="63"/>
      <c r="H5" s="73"/>
      <c r="I5" s="65"/>
      <c r="J5" s="66"/>
      <c r="K5" s="67"/>
      <c r="L5" s="68"/>
      <c r="M5" s="68"/>
      <c r="N5" s="62"/>
      <c r="O5" s="69"/>
    </row>
    <row r="6" ht="22.5" customHeight="1">
      <c r="A6" s="70">
        <v>46053.0</v>
      </c>
      <c r="B6" s="71">
        <v>46048.0</v>
      </c>
      <c r="C6" s="75" t="s">
        <v>53</v>
      </c>
      <c r="D6" s="75" t="s">
        <v>54</v>
      </c>
      <c r="E6" s="76">
        <v>630.51</v>
      </c>
      <c r="F6" s="77"/>
      <c r="G6" s="76"/>
      <c r="H6" s="78"/>
      <c r="I6" s="79"/>
      <c r="J6" s="80"/>
      <c r="K6" s="81"/>
      <c r="L6" s="82"/>
      <c r="M6" s="82"/>
      <c r="N6" s="82"/>
      <c r="O6" s="8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</row>
    <row r="7" ht="22.5" customHeight="1">
      <c r="A7" s="84">
        <v>45991.0</v>
      </c>
      <c r="B7" s="85">
        <v>46351.0</v>
      </c>
      <c r="C7" s="86" t="s">
        <v>55</v>
      </c>
      <c r="D7" s="87" t="s">
        <v>56</v>
      </c>
      <c r="E7" s="88">
        <v>3155.81</v>
      </c>
      <c r="F7" s="89">
        <v>46036.0</v>
      </c>
      <c r="G7" s="88">
        <v>3155.81</v>
      </c>
      <c r="H7" s="89">
        <v>46030.0</v>
      </c>
      <c r="I7" s="90">
        <f t="shared" ref="I7:I8" si="1">H7-A7</f>
        <v>39</v>
      </c>
      <c r="J7" s="88">
        <f>G7-E7</f>
        <v>0</v>
      </c>
      <c r="K7" s="91" t="s">
        <v>57</v>
      </c>
      <c r="L7" s="86" t="s">
        <v>58</v>
      </c>
      <c r="M7" s="92"/>
      <c r="N7" s="86" t="s">
        <v>59</v>
      </c>
      <c r="O7" s="9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</row>
    <row r="8" ht="22.5" customHeight="1">
      <c r="A8" s="84">
        <v>46053.0</v>
      </c>
      <c r="B8" s="85">
        <v>46048.0</v>
      </c>
      <c r="C8" s="94" t="s">
        <v>60</v>
      </c>
      <c r="D8" s="87" t="s">
        <v>61</v>
      </c>
      <c r="E8" s="88">
        <v>5171.85</v>
      </c>
      <c r="F8" s="89">
        <v>46076.0</v>
      </c>
      <c r="G8" s="88">
        <v>5171.85</v>
      </c>
      <c r="H8" s="89">
        <v>46079.0</v>
      </c>
      <c r="I8" s="95">
        <f t="shared" si="1"/>
        <v>26</v>
      </c>
      <c r="J8" s="96"/>
      <c r="K8" s="97" t="s">
        <v>62</v>
      </c>
      <c r="L8" s="94" t="s">
        <v>58</v>
      </c>
      <c r="M8" s="98"/>
      <c r="N8" s="94" t="s">
        <v>59</v>
      </c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 ht="22.5" customHeight="1">
      <c r="A9" s="101">
        <v>46022.0</v>
      </c>
      <c r="B9" s="61">
        <v>46381.0</v>
      </c>
      <c r="C9" s="75" t="s">
        <v>53</v>
      </c>
      <c r="D9" s="75" t="s">
        <v>54</v>
      </c>
      <c r="E9" s="76">
        <v>1441.56</v>
      </c>
      <c r="F9" s="78"/>
      <c r="G9" s="76">
        <v>0.0</v>
      </c>
      <c r="H9" s="78"/>
      <c r="I9" s="79"/>
      <c r="J9" s="80"/>
      <c r="K9" s="81"/>
      <c r="L9" s="75" t="s">
        <v>63</v>
      </c>
      <c r="M9" s="75" t="s">
        <v>64</v>
      </c>
      <c r="N9" s="75" t="s">
        <v>65</v>
      </c>
      <c r="O9" s="83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 ht="22.5" customHeight="1">
      <c r="A10" s="84">
        <v>46022.0</v>
      </c>
      <c r="B10" s="85">
        <v>46381.0</v>
      </c>
      <c r="C10" s="86" t="s">
        <v>55</v>
      </c>
      <c r="D10" s="87" t="s">
        <v>56</v>
      </c>
      <c r="E10" s="88">
        <v>2887.07</v>
      </c>
      <c r="F10" s="89">
        <v>46066.0</v>
      </c>
      <c r="G10" s="88">
        <v>2887.07</v>
      </c>
      <c r="H10" s="89">
        <v>46057.0</v>
      </c>
      <c r="I10" s="95">
        <f t="shared" ref="I10:I23" si="2">H10-A10</f>
        <v>35</v>
      </c>
      <c r="J10" s="96">
        <f>G10-E10</f>
        <v>0</v>
      </c>
      <c r="K10" s="91" t="s">
        <v>66</v>
      </c>
      <c r="L10" s="86" t="s">
        <v>58</v>
      </c>
      <c r="M10" s="92"/>
      <c r="N10" s="86" t="s">
        <v>59</v>
      </c>
      <c r="O10" s="93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 ht="22.5" customHeight="1">
      <c r="A11" s="84">
        <v>46022.0</v>
      </c>
      <c r="B11" s="85">
        <v>46381.0</v>
      </c>
      <c r="C11" s="86" t="s">
        <v>60</v>
      </c>
      <c r="D11" s="87" t="s">
        <v>61</v>
      </c>
      <c r="E11" s="88">
        <v>14697.59</v>
      </c>
      <c r="F11" s="89">
        <v>46045.0</v>
      </c>
      <c r="G11" s="88">
        <v>14841.11</v>
      </c>
      <c r="H11" s="89">
        <v>46048.0</v>
      </c>
      <c r="I11" s="95">
        <f t="shared" si="2"/>
        <v>26</v>
      </c>
      <c r="J11" s="96"/>
      <c r="K11" s="91" t="s">
        <v>67</v>
      </c>
      <c r="L11" s="86" t="s">
        <v>58</v>
      </c>
      <c r="M11" s="92"/>
      <c r="N11" s="86" t="s">
        <v>59</v>
      </c>
      <c r="O11" s="93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</row>
    <row r="12" ht="22.5" customHeight="1">
      <c r="A12" s="84">
        <v>46005.0</v>
      </c>
      <c r="B12" s="85">
        <v>46381.0</v>
      </c>
      <c r="C12" s="94" t="s">
        <v>68</v>
      </c>
      <c r="D12" s="87" t="s">
        <v>69</v>
      </c>
      <c r="E12" s="88">
        <v>45000.0</v>
      </c>
      <c r="F12" s="89"/>
      <c r="G12" s="88">
        <v>45000.0</v>
      </c>
      <c r="H12" s="84">
        <v>46066.0</v>
      </c>
      <c r="I12" s="90">
        <f t="shared" si="2"/>
        <v>61</v>
      </c>
      <c r="J12" s="96"/>
      <c r="K12" s="97" t="s">
        <v>70</v>
      </c>
      <c r="L12" s="94" t="s">
        <v>58</v>
      </c>
      <c r="M12" s="98"/>
      <c r="N12" s="94" t="s">
        <v>59</v>
      </c>
      <c r="O12" s="103" t="s">
        <v>71</v>
      </c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 ht="22.5" customHeight="1">
      <c r="A13" s="101">
        <v>45991.0</v>
      </c>
      <c r="B13" s="61">
        <v>46351.0</v>
      </c>
      <c r="C13" s="75" t="s">
        <v>53</v>
      </c>
      <c r="D13" s="75" t="s">
        <v>54</v>
      </c>
      <c r="E13" s="76">
        <v>2219.65</v>
      </c>
      <c r="F13" s="78"/>
      <c r="G13" s="76">
        <v>0.0</v>
      </c>
      <c r="H13" s="77">
        <v>46000.0</v>
      </c>
      <c r="I13" s="79">
        <f t="shared" si="2"/>
        <v>9</v>
      </c>
      <c r="J13" s="80"/>
      <c r="K13" s="81"/>
      <c r="L13" s="75" t="s">
        <v>63</v>
      </c>
      <c r="M13" s="75" t="s">
        <v>64</v>
      </c>
      <c r="N13" s="75" t="s">
        <v>65</v>
      </c>
      <c r="O13" s="83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 ht="22.5" customHeight="1">
      <c r="A14" s="104">
        <v>45991.0</v>
      </c>
      <c r="B14" s="105">
        <v>46351.0</v>
      </c>
      <c r="C14" s="86" t="s">
        <v>60</v>
      </c>
      <c r="D14" s="86" t="s">
        <v>61</v>
      </c>
      <c r="E14" s="106">
        <v>8221.8</v>
      </c>
      <c r="F14" s="107">
        <v>46014.0</v>
      </c>
      <c r="G14" s="106">
        <v>8454.69</v>
      </c>
      <c r="H14" s="107">
        <v>46014.0</v>
      </c>
      <c r="I14" s="95">
        <f t="shared" si="2"/>
        <v>23</v>
      </c>
      <c r="J14" s="106">
        <f>G14-E14</f>
        <v>232.89</v>
      </c>
      <c r="K14" s="91" t="s">
        <v>72</v>
      </c>
      <c r="L14" s="86" t="s">
        <v>58</v>
      </c>
      <c r="M14" s="92"/>
      <c r="N14" s="86" t="s">
        <v>65</v>
      </c>
      <c r="O14" s="9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</row>
    <row r="15" ht="22.5" customHeight="1">
      <c r="A15" s="101">
        <v>45961.0</v>
      </c>
      <c r="B15" s="61">
        <v>46320.0</v>
      </c>
      <c r="C15" s="75" t="s">
        <v>53</v>
      </c>
      <c r="D15" s="75" t="s">
        <v>54</v>
      </c>
      <c r="E15" s="76">
        <v>837.92</v>
      </c>
      <c r="F15" s="78"/>
      <c r="G15" s="76">
        <v>0.0</v>
      </c>
      <c r="H15" s="77">
        <v>45972.0</v>
      </c>
      <c r="I15" s="79">
        <f t="shared" si="2"/>
        <v>11</v>
      </c>
      <c r="J15" s="80"/>
      <c r="K15" s="81"/>
      <c r="L15" s="75" t="s">
        <v>63</v>
      </c>
      <c r="M15" s="75" t="s">
        <v>58</v>
      </c>
      <c r="N15" s="75" t="s">
        <v>65</v>
      </c>
      <c r="O15" s="8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</row>
    <row r="16" ht="22.5" customHeight="1">
      <c r="A16" s="104">
        <v>45961.0</v>
      </c>
      <c r="B16" s="105">
        <v>46320.0</v>
      </c>
      <c r="C16" s="86" t="s">
        <v>55</v>
      </c>
      <c r="D16" s="86" t="s">
        <v>56</v>
      </c>
      <c r="E16" s="106">
        <v>1520.75</v>
      </c>
      <c r="F16" s="107">
        <v>46006.0</v>
      </c>
      <c r="G16" s="106">
        <v>1520.75</v>
      </c>
      <c r="H16" s="107">
        <v>46009.0</v>
      </c>
      <c r="I16" s="95">
        <f t="shared" si="2"/>
        <v>48</v>
      </c>
      <c r="J16" s="106">
        <f t="shared" ref="J16:J17" si="3">G16-E16</f>
        <v>0</v>
      </c>
      <c r="K16" s="91" t="s">
        <v>73</v>
      </c>
      <c r="L16" s="86" t="s">
        <v>58</v>
      </c>
      <c r="M16" s="92"/>
      <c r="N16" s="86" t="s">
        <v>65</v>
      </c>
      <c r="O16" s="9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</row>
    <row r="17" ht="22.5" customHeight="1">
      <c r="A17" s="104">
        <v>45961.0</v>
      </c>
      <c r="B17" s="105">
        <v>46320.0</v>
      </c>
      <c r="C17" s="86" t="s">
        <v>60</v>
      </c>
      <c r="D17" s="86" t="s">
        <v>61</v>
      </c>
      <c r="E17" s="106">
        <v>4991.91</v>
      </c>
      <c r="F17" s="107">
        <v>45986.0</v>
      </c>
      <c r="G17" s="106">
        <v>4991.91</v>
      </c>
      <c r="H17" s="107">
        <v>45986.0</v>
      </c>
      <c r="I17" s="95">
        <f t="shared" si="2"/>
        <v>25</v>
      </c>
      <c r="J17" s="106">
        <f t="shared" si="3"/>
        <v>0</v>
      </c>
      <c r="K17" s="91" t="s">
        <v>74</v>
      </c>
      <c r="L17" s="86" t="s">
        <v>58</v>
      </c>
      <c r="M17" s="92"/>
      <c r="N17" s="86" t="s">
        <v>65</v>
      </c>
      <c r="O17" s="9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 ht="22.5" customHeight="1">
      <c r="A18" s="101">
        <v>45930.0</v>
      </c>
      <c r="B18" s="61">
        <v>46290.0</v>
      </c>
      <c r="C18" s="75" t="s">
        <v>53</v>
      </c>
      <c r="D18" s="75" t="s">
        <v>54</v>
      </c>
      <c r="E18" s="76">
        <v>918.7</v>
      </c>
      <c r="F18" s="78"/>
      <c r="G18" s="76">
        <v>0.0</v>
      </c>
      <c r="H18" s="77">
        <v>45937.0</v>
      </c>
      <c r="I18" s="79">
        <f t="shared" si="2"/>
        <v>7</v>
      </c>
      <c r="J18" s="80"/>
      <c r="K18" s="81"/>
      <c r="L18" s="75" t="s">
        <v>63</v>
      </c>
      <c r="M18" s="75" t="s">
        <v>58</v>
      </c>
      <c r="N18" s="75" t="s">
        <v>75</v>
      </c>
      <c r="O18" s="8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</row>
    <row r="19" ht="22.5" customHeight="1">
      <c r="A19" s="104">
        <v>45930.0</v>
      </c>
      <c r="B19" s="105">
        <v>46290.0</v>
      </c>
      <c r="C19" s="86" t="s">
        <v>55</v>
      </c>
      <c r="D19" s="86" t="s">
        <v>56</v>
      </c>
      <c r="E19" s="106">
        <v>365.06</v>
      </c>
      <c r="F19" s="107">
        <v>45975.0</v>
      </c>
      <c r="G19" s="106">
        <v>365.06</v>
      </c>
      <c r="H19" s="107">
        <v>45974.0</v>
      </c>
      <c r="I19" s="95">
        <f t="shared" si="2"/>
        <v>44</v>
      </c>
      <c r="J19" s="106">
        <f t="shared" ref="J19:J20" si="4">G19-E19</f>
        <v>0</v>
      </c>
      <c r="K19" s="91" t="s">
        <v>76</v>
      </c>
      <c r="L19" s="86" t="s">
        <v>58</v>
      </c>
      <c r="M19" s="92"/>
      <c r="N19" s="86" t="s">
        <v>75</v>
      </c>
      <c r="O19" s="93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</row>
    <row r="20" ht="22.5" customHeight="1">
      <c r="A20" s="104">
        <v>45930.0</v>
      </c>
      <c r="B20" s="105">
        <v>46290.0</v>
      </c>
      <c r="C20" s="86" t="s">
        <v>60</v>
      </c>
      <c r="D20" s="86" t="s">
        <v>61</v>
      </c>
      <c r="E20" s="106">
        <v>2591.49</v>
      </c>
      <c r="F20" s="107">
        <v>45954.0</v>
      </c>
      <c r="G20" s="106">
        <v>2600.29</v>
      </c>
      <c r="H20" s="107">
        <v>45953.0</v>
      </c>
      <c r="I20" s="95">
        <f t="shared" si="2"/>
        <v>23</v>
      </c>
      <c r="J20" s="106">
        <f t="shared" si="4"/>
        <v>8.8</v>
      </c>
      <c r="K20" s="91" t="s">
        <v>77</v>
      </c>
      <c r="L20" s="86" t="s">
        <v>58</v>
      </c>
      <c r="M20" s="92"/>
      <c r="N20" s="86" t="s">
        <v>75</v>
      </c>
      <c r="O20" s="93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</row>
    <row r="21" ht="22.5" customHeight="1">
      <c r="A21" s="101">
        <v>45900.0</v>
      </c>
      <c r="B21" s="61">
        <v>46259.0</v>
      </c>
      <c r="C21" s="75" t="s">
        <v>53</v>
      </c>
      <c r="D21" s="75" t="s">
        <v>54</v>
      </c>
      <c r="E21" s="76">
        <v>89.6</v>
      </c>
      <c r="F21" s="78"/>
      <c r="G21" s="76"/>
      <c r="H21" s="77">
        <v>45937.0</v>
      </c>
      <c r="I21" s="79">
        <f t="shared" si="2"/>
        <v>37</v>
      </c>
      <c r="J21" s="80"/>
      <c r="K21" s="81"/>
      <c r="L21" s="75" t="s">
        <v>63</v>
      </c>
      <c r="M21" s="75" t="s">
        <v>58</v>
      </c>
      <c r="N21" s="75" t="s">
        <v>75</v>
      </c>
      <c r="O21" s="83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 ht="22.5" customHeight="1">
      <c r="A22" s="104">
        <v>45900.0</v>
      </c>
      <c r="B22" s="105">
        <v>46259.0</v>
      </c>
      <c r="C22" s="86" t="s">
        <v>55</v>
      </c>
      <c r="D22" s="86" t="s">
        <v>56</v>
      </c>
      <c r="E22" s="106">
        <v>714.93</v>
      </c>
      <c r="F22" s="107">
        <v>45945.0</v>
      </c>
      <c r="G22" s="106">
        <v>714.93</v>
      </c>
      <c r="H22" s="107">
        <v>45973.0</v>
      </c>
      <c r="I22" s="95">
        <f t="shared" si="2"/>
        <v>73</v>
      </c>
      <c r="J22" s="106">
        <f t="shared" ref="J22:J23" si="5">G22-E22</f>
        <v>0</v>
      </c>
      <c r="K22" s="91" t="s">
        <v>78</v>
      </c>
      <c r="L22" s="86" t="s">
        <v>58</v>
      </c>
      <c r="M22" s="92"/>
      <c r="N22" s="86" t="s">
        <v>75</v>
      </c>
      <c r="O22" s="93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</row>
    <row r="23" ht="22.5" customHeight="1">
      <c r="A23" s="104">
        <v>45900.0</v>
      </c>
      <c r="B23" s="105">
        <v>46259.0</v>
      </c>
      <c r="C23" s="86" t="s">
        <v>60</v>
      </c>
      <c r="D23" s="86" t="s">
        <v>61</v>
      </c>
      <c r="E23" s="106">
        <v>5444.18</v>
      </c>
      <c r="F23" s="107">
        <v>45925.0</v>
      </c>
      <c r="G23" s="106">
        <v>5603.22</v>
      </c>
      <c r="H23" s="107">
        <v>45925.0</v>
      </c>
      <c r="I23" s="95">
        <f t="shared" si="2"/>
        <v>25</v>
      </c>
      <c r="J23" s="106">
        <f t="shared" si="5"/>
        <v>159.04</v>
      </c>
      <c r="K23" s="91" t="s">
        <v>79</v>
      </c>
      <c r="L23" s="86" t="s">
        <v>58</v>
      </c>
      <c r="M23" s="92"/>
      <c r="N23" s="86" t="s">
        <v>75</v>
      </c>
      <c r="O23" s="93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</row>
    <row r="24" ht="22.5" customHeight="1">
      <c r="A24" s="60"/>
      <c r="B24" s="61"/>
      <c r="C24" s="62" t="s">
        <v>80</v>
      </c>
      <c r="D24" s="62" t="s">
        <v>56</v>
      </c>
      <c r="E24" s="63">
        <v>0.0</v>
      </c>
      <c r="F24" s="64"/>
      <c r="G24" s="63"/>
      <c r="H24" s="73"/>
      <c r="I24" s="65"/>
      <c r="J24" s="66"/>
      <c r="K24" s="67"/>
      <c r="L24" s="68"/>
      <c r="M24" s="68"/>
      <c r="N24" s="68"/>
      <c r="O24" s="6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</row>
  </sheetData>
  <customSheetViews>
    <customSheetView guid="{A966F8FE-61B8-43F2-8DED-C3BE2E2BA9C3}" filter="1" showAutoFilter="1">
      <autoFilter ref="$A$1:$O$24"/>
    </customSheetView>
    <customSheetView guid="{B049C1F0-5A9B-44F1-80A3-32F85D97B388}" filter="1" showAutoFilter="1">
      <autoFilter ref="$A$1:$O$24">
        <sortState ref="A1:O24">
          <sortCondition ref="A1:A24"/>
          <sortCondition ref="B1:B24"/>
        </sortState>
      </autoFilter>
    </customSheetView>
  </customSheetViews>
  <conditionalFormatting sqref="J1:J24">
    <cfRule type="cellIs" dxfId="10" priority="1" operator="greaterThan">
      <formula>0</formula>
    </cfRule>
  </conditionalFormatting>
  <conditionalFormatting sqref="J1:J24">
    <cfRule type="cellIs" dxfId="11" priority="2" operator="lessThan">
      <formula>0</formula>
    </cfRule>
  </conditionalFormatting>
  <dataValidations>
    <dataValidation type="list" allowBlank="1" sqref="N2:N24">
      <formula1>"Q0,Q1,Q2,Q3,Q4"</formula1>
    </dataValidation>
    <dataValidation type="custom" allowBlank="1" showDropDown="1" sqref="A2:A24 H2:H24">
      <formula1>OR(NOT(ISERROR(DATEVALUE(A2))), AND(ISNUMBER(A2), LEFT(CELL("format", A2))="D"))</formula1>
    </dataValidation>
    <dataValidation type="custom" allowBlank="1" showDropDown="1" sqref="F2:F24">
      <formula1>OR(NOT(ISERROR(DATEVALUE(F2))), AND(ISNUMBER(F2), LEFT(CELL("format", F2))="D"))</formula1>
    </dataValidation>
    <dataValidation allowBlank="1" showDropDown="1" sqref="O2:O24"/>
    <dataValidation type="list" allowBlank="1" sqref="D2:D24">
      <formula1>"AdSense,Direct Sold,Presenting,DAI,Various"</formula1>
    </dataValidation>
    <dataValidation type="custom" allowBlank="1" showDropDown="1" sqref="G2:G24 J2:J24">
      <formula1>AND(ISNUMBER(G2),(NOT(OR(NOT(ISERROR(DATEVALUE(G2))), AND(ISNUMBER(G2), LEFT(CELL("format", G2))="D")))))</formula1>
    </dataValidation>
    <dataValidation type="list" allowBlank="1" sqref="M2:M24">
      <formula1>"PROJECTED,BOOKED,PENDING,PAID"</formula1>
    </dataValidation>
    <dataValidation type="list" allowBlank="1" sqref="C2:C24">
      <formula1>"YouTube,Culture Genesis,Acast,Threads,Backyard Ventures,Happy Jewelers"</formula1>
    </dataValidation>
    <dataValidation type="list" allowBlank="1" sqref="L2:L24">
      <formula1>"PROJECTED,BOOKED,PENDING,PAID,UNPAID,UNSURE?"</formula1>
    </dataValidation>
  </dataValidations>
  <hyperlinks>
    <hyperlink r:id="rId2" ref="K7"/>
    <hyperlink r:id="rId3" ref="K8"/>
    <hyperlink r:id="rId4" ref="K10"/>
    <hyperlink r:id="rId5" ref="K11"/>
    <hyperlink r:id="rId6" ref="K12"/>
    <hyperlink r:id="rId7" ref="K14"/>
    <hyperlink r:id="rId8" ref="K16"/>
    <hyperlink r:id="rId9" ref="K17"/>
    <hyperlink r:id="rId10" ref="K19"/>
    <hyperlink r:id="rId11" ref="K20"/>
    <hyperlink r:id="rId12" ref="K22"/>
    <hyperlink r:id="rId13" ref="K23"/>
  </hyperlinks>
  <drawing r:id="rId14"/>
  <legacyDrawing r:id="rId15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14"/>
    <col customWidth="1" min="2" max="3" width="18.0"/>
    <col customWidth="1" min="4" max="4" width="15.0"/>
    <col customWidth="1" min="5" max="5" width="20.57"/>
    <col customWidth="1" min="6" max="6" width="12.0"/>
    <col customWidth="1" min="7" max="7" width="23.14"/>
    <col customWidth="1" min="8" max="8" width="15.0"/>
    <col customWidth="1" min="9" max="27" width="8.71"/>
  </cols>
  <sheetData>
    <row r="1" ht="15.75" customHeight="1">
      <c r="A1" s="108" t="s">
        <v>81</v>
      </c>
      <c r="H1" s="109"/>
    </row>
    <row r="2" ht="15.75" customHeight="1">
      <c r="A2" s="110" t="s">
        <v>82</v>
      </c>
      <c r="B2" s="109"/>
      <c r="C2" s="109"/>
      <c r="D2" s="109"/>
      <c r="E2" s="109"/>
      <c r="F2" s="109"/>
      <c r="G2" s="109"/>
      <c r="H2" s="109"/>
    </row>
    <row r="3" ht="15.75" customHeight="1">
      <c r="A3" s="111" t="s">
        <v>83</v>
      </c>
      <c r="B3" s="112" t="s">
        <v>60</v>
      </c>
      <c r="C3" s="111" t="s">
        <v>55</v>
      </c>
      <c r="D3" s="112" t="s">
        <v>53</v>
      </c>
      <c r="E3" s="112" t="s">
        <v>51</v>
      </c>
      <c r="F3" s="111" t="s">
        <v>84</v>
      </c>
      <c r="G3" s="111" t="s">
        <v>85</v>
      </c>
      <c r="H3" s="109"/>
    </row>
    <row r="4" ht="15.75" customHeight="1">
      <c r="A4" s="113" t="s">
        <v>86</v>
      </c>
      <c r="B4" s="114">
        <f>SUMPRODUCT(('💸 Pay Tracker'!$C$2:$C$80="YouTube")*(MONTH('💸 Pay Tracker'!$A$2:$A$80)=10)*(YEAR('💸 Pay Tracker'!$A$2:$A$80)=2025),'💸 Pay Tracker'!$G$2:$G$80)+SUMPRODUCT(('💸 Pay Tracker'!$C$2:$C$80="YouTube")*(MONTH('💸 Pay Tracker'!$A$2:$A$80)=10)*(YEAR('💸 Pay Tracker'!$A$2:$A$80)=2025)*('💸 Pay Tracker'!$G$2:$G$80=""),'💸 Pay Tracker'!$E$2:$E$80)</f>
        <v>4991.91</v>
      </c>
      <c r="C4" s="114">
        <f>SUMPRODUCT(('💸 Pay Tracker'!$C$2:$C$80="Culture Genesis")*(MONTH('💸 Pay Tracker'!$A$2:$A$80)=10)*(YEAR('💸 Pay Tracker'!$A$2:$A$80)=2025),'💸 Pay Tracker'!$G$2:$G$80)+SUMPRODUCT(('💸 Pay Tracker'!$C$2:$C$80="Culture Genesis")*(MONTH('💸 Pay Tracker'!$A$2:$A$80)=10)*(YEAR('💸 Pay Tracker'!$A$2:$A$80)=2025)*('💸 Pay Tracker'!$G$2:$G$80=""),'💸 Pay Tracker'!$E$2:$E$80)</f>
        <v>1520.75</v>
      </c>
      <c r="D4" s="114">
        <f>SUMPRODUCT(('💸 Pay Tracker'!$C$2:$C$80="Acast")*(MONTH('💸 Pay Tracker'!$A$2:$A$80)=10)*(YEAR('💸 Pay Tracker'!$A$2:$A$80)=2025),'💸 Pay Tracker'!$G$2:$G$80)+SUMPRODUCT(('💸 Pay Tracker'!$C$2:$C$80="Acast")*(MONTH('💸 Pay Tracker'!$A$2:$A$80)=10)*(YEAR('💸 Pay Tracker'!$A$2:$A$80)=2025)*('💸 Pay Tracker'!$G$2:$G$80=""),'💸 Pay Tracker'!$E$2:$E$80)</f>
        <v>0</v>
      </c>
      <c r="E4" s="114"/>
      <c r="F4" s="114">
        <f>SUMPRODUCT(('💸 Pay Tracker'!$C$2:$C$80&lt;&gt;"YouTube")*('💸 Pay Tracker'!$C$2:$C$80&lt;&gt;"Culture Genesis")*('💸 Pay Tracker'!$C$2:$C$80&lt;&gt;"Acast")*('💸 Pay Tracker'!$C$2:$C$80&lt;&gt;"")*(MONTH('💸 Pay Tracker'!$A$2:$A$80)=10)*(YEAR('💸 Pay Tracker'!$A$2:$A$80)=2025),'💸 Pay Tracker'!$G$2:$G$80)</f>
        <v>0</v>
      </c>
      <c r="G4" s="114">
        <f t="shared" ref="G4:G6" si="1">SUM(B4:F4)</f>
        <v>6512.66</v>
      </c>
      <c r="H4" s="109"/>
    </row>
    <row r="5" ht="15.75" customHeight="1">
      <c r="A5" s="113" t="s">
        <v>87</v>
      </c>
      <c r="B5" s="114">
        <f>SUMPRODUCT(('💸 Pay Tracker'!$C$2:$C$80="YouTube")*(MONTH('💸 Pay Tracker'!$A$2:$A$80)=11)*(YEAR('💸 Pay Tracker'!$A$2:$A$80)=2025),'💸 Pay Tracker'!$G$2:$G$80)+SUMPRODUCT(('💸 Pay Tracker'!$C$2:$C$80="YouTube")*(MONTH('💸 Pay Tracker'!$A$2:$A$80)=11)*(YEAR('💸 Pay Tracker'!$A$2:$A$80)=2025)*('💸 Pay Tracker'!$G$2:$G$80=""),'💸 Pay Tracker'!$E$2:$E$80)</f>
        <v>8454.69</v>
      </c>
      <c r="C5" s="114">
        <f>SUMPRODUCT(('💸 Pay Tracker'!$C$2:$C$80="Culture Genesis")*(MONTH('💸 Pay Tracker'!$A$2:$A$80)=11)*(YEAR('💸 Pay Tracker'!$A$2:$A$80)=2025),'💸 Pay Tracker'!$G$2:$G$80)+SUMPRODUCT(('💸 Pay Tracker'!$C$2:$C$80="Culture Genesis")*(MONTH('💸 Pay Tracker'!$A$2:$A$80)=11)*(YEAR('💸 Pay Tracker'!$A$2:$A$80)=2025)*('💸 Pay Tracker'!$G$2:$G$80=""),'💸 Pay Tracker'!$E$2:$E$80)</f>
        <v>3155.81</v>
      </c>
      <c r="D5" s="114">
        <f>SUMPRODUCT(('💸 Pay Tracker'!$C$2:$C$80="Acast")*(MONTH('💸 Pay Tracker'!$A$2:$A$80)=11)*(YEAR('💸 Pay Tracker'!$A$2:$A$80)=2025),'💸 Pay Tracker'!$G$2:$G$80)+SUMPRODUCT(('💸 Pay Tracker'!$C$2:$C$80="Acast")*(MONTH('💸 Pay Tracker'!$A$2:$A$80)=11)*(YEAR('💸 Pay Tracker'!$A$2:$A$80)=2025)*('💸 Pay Tracker'!$G$2:$G$80=""),'💸 Pay Tracker'!$E$2:$E$80)</f>
        <v>0</v>
      </c>
      <c r="E5" s="114"/>
      <c r="F5" s="114">
        <f>SUMPRODUCT(('💸 Pay Tracker'!$C$2:$C$80&lt;&gt;"YouTube")*('💸 Pay Tracker'!$C$2:$C$80&lt;&gt;"Culture Genesis")*('💸 Pay Tracker'!$C$2:$C$80&lt;&gt;"Acast")*('💸 Pay Tracker'!$C$2:$C$80&lt;&gt;"")*(MONTH('💸 Pay Tracker'!$A$2:$A$80)=11)*(YEAR('💸 Pay Tracker'!$A$2:$A$80)=2025),'💸 Pay Tracker'!$G$2:$G$80)</f>
        <v>0</v>
      </c>
      <c r="G5" s="114">
        <f t="shared" si="1"/>
        <v>11610.5</v>
      </c>
      <c r="H5" s="109"/>
    </row>
    <row r="6" ht="15.75" customHeight="1">
      <c r="A6" s="113" t="s">
        <v>88</v>
      </c>
      <c r="B6" s="114">
        <f>SUMPRODUCT(('💸 Pay Tracker'!$C$2:$C$80="YouTube")*(MONTH('💸 Pay Tracker'!$A$2:$A$80)=12)*(YEAR('💸 Pay Tracker'!$A$2:$A$80)=2025),'💸 Pay Tracker'!$G$2:$G$80)+SUMPRODUCT(('💸 Pay Tracker'!$C$2:$C$80="YouTube")*(MONTH('💸 Pay Tracker'!$A$2:$A$80)=12)*(YEAR('💸 Pay Tracker'!$A$2:$A$80)=2025)*('💸 Pay Tracker'!$G$2:$G$80=""),'💸 Pay Tracker'!$E$2:$E$80)</f>
        <v>14841.11</v>
      </c>
      <c r="C6" s="114">
        <f>SUMPRODUCT(('💸 Pay Tracker'!$C$2:$C$80="Culture Genesis")*(MONTH('💸 Pay Tracker'!$A$2:$A$80)=12)*(YEAR('💸 Pay Tracker'!$A$2:$A$80)=2025),'💸 Pay Tracker'!$G$2:$G$80)+SUMPRODUCT(('💸 Pay Tracker'!$C$2:$C$80="Culture Genesis")*(MONTH('💸 Pay Tracker'!$A$2:$A$80)=12)*(YEAR('💸 Pay Tracker'!$A$2:$A$80)=2025)*('💸 Pay Tracker'!$G$2:$G$80=""),'💸 Pay Tracker'!$E$2:$E$80)</f>
        <v>2887.07</v>
      </c>
      <c r="D6" s="114">
        <f>SUMPRODUCT(('💸 Pay Tracker'!$C$2:$C$80="Acast")*(MONTH('💸 Pay Tracker'!$A$2:$A$80)=12)*(YEAR('💸 Pay Tracker'!$A$2:$A$80)=2025),'💸 Pay Tracker'!$G$2:$G$80)+SUMPRODUCT(('💸 Pay Tracker'!$C$2:$C$80="Acast")*(MONTH('💸 Pay Tracker'!$A$2:$A$80)=12)*(YEAR('💸 Pay Tracker'!$A$2:$A$80)=2025)*('💸 Pay Tracker'!$G$2:$G$80=""),'💸 Pay Tracker'!$E$2:$E$80)</f>
        <v>0</v>
      </c>
      <c r="E6" s="114"/>
      <c r="F6" s="114">
        <f>SUMPRODUCT(('💸 Pay Tracker'!$C$2:$C$80&lt;&gt;"YouTube")*('💸 Pay Tracker'!$C$2:$C$80&lt;&gt;"Culture Genesis")*('💸 Pay Tracker'!$C$2:$C$80&lt;&gt;"Acast")*('💸 Pay Tracker'!$C$2:$C$80&lt;&gt;"")*(MONTH('💸 Pay Tracker'!$A$2:$A$80)=12)*(YEAR('💸 Pay Tracker'!$A$2:$A$80)=2025),'💸 Pay Tracker'!$G$2:$G$80)</f>
        <v>45000</v>
      </c>
      <c r="G6" s="114">
        <f t="shared" si="1"/>
        <v>62728.18</v>
      </c>
      <c r="H6" s="109"/>
    </row>
    <row r="7" ht="15.75" customHeight="1">
      <c r="A7" s="115" t="s">
        <v>89</v>
      </c>
      <c r="B7" s="116">
        <f t="shared" ref="B7:D7" si="2">SUM(B4:B6)</f>
        <v>28287.71</v>
      </c>
      <c r="C7" s="116">
        <f t="shared" si="2"/>
        <v>7563.63</v>
      </c>
      <c r="D7" s="116">
        <f t="shared" si="2"/>
        <v>0</v>
      </c>
      <c r="E7" s="116"/>
      <c r="F7" s="116">
        <f t="shared" ref="F7:G7" si="3">SUM(F4:F6)</f>
        <v>45000</v>
      </c>
      <c r="G7" s="116">
        <f t="shared" si="3"/>
        <v>80851.34</v>
      </c>
      <c r="H7" s="109"/>
    </row>
    <row r="8" ht="15.75" customHeight="1">
      <c r="A8" s="113" t="s">
        <v>90</v>
      </c>
      <c r="B8" s="114">
        <f>SUMPRODUCT(('💸 Pay Tracker'!$C$2:$C$80="YouTube")*(MONTH('💸 Pay Tracker'!$A$2:$A$80)=1)*(YEAR('💸 Pay Tracker'!$A$2:$A$80)=2026),'💸 Pay Tracker'!$G$2:$G$80)+SUMPRODUCT(('💸 Pay Tracker'!$C$2:$C$80="YouTube")*(MONTH('💸 Pay Tracker'!$A$2:$A$80)=1)*(YEAR('💸 Pay Tracker'!$A$2:$A$80)=2026)*('💸 Pay Tracker'!$G$2:$G$80=""),'💸 Pay Tracker'!$E$2:$E$80)</f>
        <v>5171.85</v>
      </c>
      <c r="C8" s="114">
        <f>SUMPRODUCT(('💸 Pay Tracker'!$C$2:$C$80="Culture Genesis")*(MONTH('💸 Pay Tracker'!$A$2:$A$80)=1)*(YEAR('💸 Pay Tracker'!$A$2:$A$80)=2026),'💸 Pay Tracker'!$G$2:$G$80)+SUMPRODUCT(('💸 Pay Tracker'!$C$2:$C$80="Culture Genesis")*(MONTH('💸 Pay Tracker'!$A$2:$A$80)=1)*(YEAR('💸 Pay Tracker'!$A$2:$A$80)=2026)*('💸 Pay Tracker'!$G$2:$G$80=""),'💸 Pay Tracker'!$E$2:$E$80)</f>
        <v>0</v>
      </c>
      <c r="D8" s="114">
        <f>SUMPRODUCT(('💸 Pay Tracker'!$C$2:$C$80="Acast")*(MONTH('💸 Pay Tracker'!$A$2:$A$80)=1)*(YEAR('💸 Pay Tracker'!$A$2:$A$80)=2026),'💸 Pay Tracker'!$G$2:$G$80)+SUMPRODUCT(('💸 Pay Tracker'!$C$2:$C$80="Acast")*(MONTH('💸 Pay Tracker'!$A$2:$A$80)=1)*(YEAR('💸 Pay Tracker'!$A$2:$A$80)=2026)*('💸 Pay Tracker'!$G$2:$G$80=""),'💸 Pay Tracker'!$E$2:$E$80)</f>
        <v>630.51</v>
      </c>
      <c r="E8" s="114"/>
      <c r="F8" s="114">
        <f>SUMPRODUCT(('💸 Pay Tracker'!$C$2:$C$80&lt;&gt;"YouTube")*('💸 Pay Tracker'!$C$2:$C$80&lt;&gt;"Culture Genesis")*('💸 Pay Tracker'!$C$2:$C$80&lt;&gt;"Acast")*('💸 Pay Tracker'!$C$2:$C$80&lt;&gt;"")*(MONTH('💸 Pay Tracker'!$A$2:$A$80)=1)*(YEAR('💸 Pay Tracker'!$A$2:$A$80)=2026),'💸 Pay Tracker'!$G$2:$G$80)</f>
        <v>0</v>
      </c>
      <c r="G8" s="114">
        <f t="shared" ref="G8:G10" si="4">SUM(B8:F8)</f>
        <v>5802.36</v>
      </c>
      <c r="H8" s="109"/>
    </row>
    <row r="9" ht="15.75" customHeight="1">
      <c r="A9" s="113" t="s">
        <v>91</v>
      </c>
      <c r="B9" s="114">
        <f>SUMPRODUCT(('💸 Pay Tracker'!$C$2:$C$80="YouTube")*(MONTH('💸 Pay Tracker'!$A$2:$A$80)=2)*(YEAR('💸 Pay Tracker'!$A$2:$A$80)=2026),'💸 Pay Tracker'!$G$2:$G$80)+SUMPRODUCT(('💸 Pay Tracker'!$C$2:$C$80="YouTube")*(MONTH('💸 Pay Tracker'!$A$2:$A$80)=2)*(YEAR('💸 Pay Tracker'!$A$2:$A$80)=2026)*('💸 Pay Tracker'!$G$2:$G$80=""),'💸 Pay Tracker'!$E$2:$E$80)</f>
        <v>0</v>
      </c>
      <c r="C9" s="114">
        <f>SUMPRODUCT(('💸 Pay Tracker'!$C$2:$C$80="Culture Genesis")*(MONTH('💸 Pay Tracker'!$A$2:$A$80)=2)*(YEAR('💸 Pay Tracker'!$A$2:$A$80)=2026),'💸 Pay Tracker'!$G$2:$G$80)+SUMPRODUCT(('💸 Pay Tracker'!$C$2:$C$80="Culture Genesis")*(MONTH('💸 Pay Tracker'!$A$2:$A$80)=2)*(YEAR('💸 Pay Tracker'!$A$2:$A$80)=2026)*('💸 Pay Tracker'!$G$2:$G$80=""),'💸 Pay Tracker'!$E$2:$E$80)</f>
        <v>0</v>
      </c>
      <c r="D9" s="114">
        <f>SUMPRODUCT(('💸 Pay Tracker'!$C$2:$C$80="Acast")*(MONTH('💸 Pay Tracker'!$A$2:$A$80)=2)*(YEAR('💸 Pay Tracker'!$A$2:$A$80)=2026),'💸 Pay Tracker'!$G$2:$G$80)+SUMPRODUCT(('💸 Pay Tracker'!$C$2:$C$80="Acast")*(MONTH('💸 Pay Tracker'!$A$2:$A$80)=2)*(YEAR('💸 Pay Tracker'!$A$2:$A$80)=2026)*('💸 Pay Tracker'!$G$2:$G$80=""),'💸 Pay Tracker'!$E$2:$E$80)</f>
        <v>0</v>
      </c>
      <c r="E9" s="114"/>
      <c r="F9" s="114">
        <f>SUMPRODUCT(('💸 Pay Tracker'!$C$2:$C$80&lt;&gt;"YouTube")*('💸 Pay Tracker'!$C$2:$C$80&lt;&gt;"Culture Genesis")*('💸 Pay Tracker'!$C$2:$C$80&lt;&gt;"Acast")*('💸 Pay Tracker'!$C$2:$C$80&lt;&gt;"")*(MONTH('💸 Pay Tracker'!$A$2:$A$80)=2)*(YEAR('💸 Pay Tracker'!$A$2:$A$80)=2026),'💸 Pay Tracker'!$G$2:$G$80)</f>
        <v>0</v>
      </c>
      <c r="G9" s="114">
        <f t="shared" si="4"/>
        <v>0</v>
      </c>
      <c r="H9" s="109"/>
    </row>
    <row r="10" ht="15.75" customHeight="1">
      <c r="A10" s="113" t="s">
        <v>92</v>
      </c>
      <c r="B10" s="114">
        <f>SUMPRODUCT(('💸 Pay Tracker'!$C$2:$C$80="YouTube")*(MONTH('💸 Pay Tracker'!$A$2:$A$80)=3)*(YEAR('💸 Pay Tracker'!$A$2:$A$80)=2026),'💸 Pay Tracker'!$G$2:$G$80)+SUMPRODUCT(('💸 Pay Tracker'!$C$2:$C$80="YouTube")*(MONTH('💸 Pay Tracker'!$A$2:$A$80)=3)*(YEAR('💸 Pay Tracker'!$A$2:$A$80)=2026)*('💸 Pay Tracker'!$G$2:$G$80=""),'💸 Pay Tracker'!$E$2:$E$80)</f>
        <v>0</v>
      </c>
      <c r="C10" s="114">
        <f>SUMPRODUCT(('💸 Pay Tracker'!$C$2:$C$80="Culture Genesis")*(MONTH('💸 Pay Tracker'!$A$2:$A$80)=3)*(YEAR('💸 Pay Tracker'!$A$2:$A$80)=2026),'💸 Pay Tracker'!$G$2:$G$80)+SUMPRODUCT(('💸 Pay Tracker'!$C$2:$C$80="Culture Genesis")*(MONTH('💸 Pay Tracker'!$A$2:$A$80)=3)*(YEAR('💸 Pay Tracker'!$A$2:$A$80)=2026)*('💸 Pay Tracker'!$G$2:$G$80=""),'💸 Pay Tracker'!$E$2:$E$80)</f>
        <v>0</v>
      </c>
      <c r="D10" s="114">
        <f>SUMPRODUCT(('💸 Pay Tracker'!$C$2:$C$80="Acast")*(MONTH('💸 Pay Tracker'!$A$2:$A$80)=3)*(YEAR('💸 Pay Tracker'!$A$2:$A$80)=2026),'💸 Pay Tracker'!$G$2:$G$80)+SUMPRODUCT(('💸 Pay Tracker'!$C$2:$C$80="Acast")*(MONTH('💸 Pay Tracker'!$A$2:$A$80)=3)*(YEAR('💸 Pay Tracker'!$A$2:$A$80)=2026)*('💸 Pay Tracker'!$G$2:$G$80=""),'💸 Pay Tracker'!$E$2:$E$80)</f>
        <v>0</v>
      </c>
      <c r="E10" s="114"/>
      <c r="F10" s="114">
        <f>SUMPRODUCT(('💸 Pay Tracker'!$C$2:$C$80&lt;&gt;"YouTube")*('💸 Pay Tracker'!$C$2:$C$80&lt;&gt;"Culture Genesis")*('💸 Pay Tracker'!$C$2:$C$80&lt;&gt;"Acast")*('💸 Pay Tracker'!$C$2:$C$80&lt;&gt;"")*(MONTH('💸 Pay Tracker'!$A$2:$A$80)=3)*(YEAR('💸 Pay Tracker'!$A$2:$A$80)=2026),'💸 Pay Tracker'!$G$2:$G$80)</f>
        <v>0</v>
      </c>
      <c r="G10" s="114">
        <f t="shared" si="4"/>
        <v>0</v>
      </c>
      <c r="H10" s="109"/>
    </row>
    <row r="11" ht="15.75" customHeight="1">
      <c r="A11" s="115" t="s">
        <v>93</v>
      </c>
      <c r="B11" s="116">
        <f t="shared" ref="B11:D11" si="5">SUM(B8:B10)</f>
        <v>5171.85</v>
      </c>
      <c r="C11" s="116">
        <f t="shared" si="5"/>
        <v>0</v>
      </c>
      <c r="D11" s="116">
        <f t="shared" si="5"/>
        <v>630.51</v>
      </c>
      <c r="E11" s="116"/>
      <c r="F11" s="116">
        <f t="shared" ref="F11:G11" si="6">SUM(F8:F10)</f>
        <v>0</v>
      </c>
      <c r="G11" s="116">
        <f t="shared" si="6"/>
        <v>5802.36</v>
      </c>
      <c r="H11" s="109"/>
    </row>
    <row r="12" ht="15.75" customHeight="1">
      <c r="A12" s="113" t="s">
        <v>94</v>
      </c>
      <c r="B12" s="114">
        <f>SUMPRODUCT(('💸 Pay Tracker'!$C$2:$C$80="YouTube")*(MONTH('💸 Pay Tracker'!$A$2:$A$80)=4)*(YEAR('💸 Pay Tracker'!$A$2:$A$80)=2026),'💸 Pay Tracker'!$G$2:$G$80)+SUMPRODUCT(('💸 Pay Tracker'!$C$2:$C$80="YouTube")*(MONTH('💸 Pay Tracker'!$A$2:$A$80)=4)*(YEAR('💸 Pay Tracker'!$A$2:$A$80)=2026)*('💸 Pay Tracker'!$G$2:$G$80=""),'💸 Pay Tracker'!$E$2:$E$80)</f>
        <v>0</v>
      </c>
      <c r="C12" s="114">
        <f>SUMPRODUCT(('💸 Pay Tracker'!$C$2:$C$80="Culture Genesis")*(MONTH('💸 Pay Tracker'!$A$2:$A$80)=4)*(YEAR('💸 Pay Tracker'!$A$2:$A$80)=2026),'💸 Pay Tracker'!$G$2:$G$80)+SUMPRODUCT(('💸 Pay Tracker'!$C$2:$C$80="Culture Genesis")*(MONTH('💸 Pay Tracker'!$A$2:$A$80)=4)*(YEAR('💸 Pay Tracker'!$A$2:$A$80)=2026)*('💸 Pay Tracker'!$G$2:$G$80=""),'💸 Pay Tracker'!$E$2:$E$80)</f>
        <v>0</v>
      </c>
      <c r="D12" s="114">
        <f>SUMPRODUCT(('💸 Pay Tracker'!$C$2:$C$80="Acast")*(MONTH('💸 Pay Tracker'!$A$2:$A$80)=4)*(YEAR('💸 Pay Tracker'!$A$2:$A$80)=2026),'💸 Pay Tracker'!$G$2:$G$80)+SUMPRODUCT(('💸 Pay Tracker'!$C$2:$C$80="Acast")*(MONTH('💸 Pay Tracker'!$A$2:$A$80)=4)*(YEAR('💸 Pay Tracker'!$A$2:$A$80)=2026)*('💸 Pay Tracker'!$G$2:$G$80=""),'💸 Pay Tracker'!$E$2:$E$80)</f>
        <v>0</v>
      </c>
      <c r="E12" s="114"/>
      <c r="F12" s="114">
        <f>SUMPRODUCT(('💸 Pay Tracker'!$C$2:$C$80&lt;&gt;"YouTube")*('💸 Pay Tracker'!$C$2:$C$80&lt;&gt;"Culture Genesis")*('💸 Pay Tracker'!$C$2:$C$80&lt;&gt;"Acast")*('💸 Pay Tracker'!$C$2:$C$80&lt;&gt;"")*(MONTH('💸 Pay Tracker'!$A$2:$A$80)=4)*(YEAR('💸 Pay Tracker'!$A$2:$A$80)=2026),'💸 Pay Tracker'!$G$2:$G$80)</f>
        <v>0</v>
      </c>
      <c r="G12" s="114">
        <f t="shared" ref="G12:G14" si="7">SUM(B12:F12)</f>
        <v>0</v>
      </c>
      <c r="H12" s="109"/>
    </row>
    <row r="13" ht="15.75" customHeight="1">
      <c r="A13" s="113" t="s">
        <v>95</v>
      </c>
      <c r="B13" s="114">
        <f>SUMPRODUCT(('💸 Pay Tracker'!$C$2:$C$80="YouTube")*(MONTH('💸 Pay Tracker'!$A$2:$A$80)=5)*(YEAR('💸 Pay Tracker'!$A$2:$A$80)=2026),'💸 Pay Tracker'!$G$2:$G$80)+SUMPRODUCT(('💸 Pay Tracker'!$C$2:$C$80="YouTube")*(MONTH('💸 Pay Tracker'!$A$2:$A$80)=5)*(YEAR('💸 Pay Tracker'!$A$2:$A$80)=2026)*('💸 Pay Tracker'!$G$2:$G$80=""),'💸 Pay Tracker'!$E$2:$E$80)</f>
        <v>0</v>
      </c>
      <c r="C13" s="114">
        <f>SUMPRODUCT(('💸 Pay Tracker'!$C$2:$C$80="Culture Genesis")*(MONTH('💸 Pay Tracker'!$A$2:$A$80)=5)*(YEAR('💸 Pay Tracker'!$A$2:$A$80)=2026),'💸 Pay Tracker'!$G$2:$G$80)+SUMPRODUCT(('💸 Pay Tracker'!$C$2:$C$80="Culture Genesis")*(MONTH('💸 Pay Tracker'!$A$2:$A$80)=5)*(YEAR('💸 Pay Tracker'!$A$2:$A$80)=2026)*('💸 Pay Tracker'!$G$2:$G$80=""),'💸 Pay Tracker'!$E$2:$E$80)</f>
        <v>0</v>
      </c>
      <c r="D13" s="114">
        <f>SUMPRODUCT(('💸 Pay Tracker'!$C$2:$C$80="Acast")*(MONTH('💸 Pay Tracker'!$A$2:$A$80)=5)*(YEAR('💸 Pay Tracker'!$A$2:$A$80)=2026),'💸 Pay Tracker'!$G$2:$G$80)+SUMPRODUCT(('💸 Pay Tracker'!$C$2:$C$80="Acast")*(MONTH('💸 Pay Tracker'!$A$2:$A$80)=5)*(YEAR('💸 Pay Tracker'!$A$2:$A$80)=2026)*('💸 Pay Tracker'!$G$2:$G$80=""),'💸 Pay Tracker'!$E$2:$E$80)</f>
        <v>0</v>
      </c>
      <c r="E13" s="114"/>
      <c r="F13" s="114">
        <f>SUMPRODUCT(('💸 Pay Tracker'!$C$2:$C$80&lt;&gt;"YouTube")*('💸 Pay Tracker'!$C$2:$C$80&lt;&gt;"Culture Genesis")*('💸 Pay Tracker'!$C$2:$C$80&lt;&gt;"Acast")*('💸 Pay Tracker'!$C$2:$C$80&lt;&gt;"")*(MONTH('💸 Pay Tracker'!$A$2:$A$80)=5)*(YEAR('💸 Pay Tracker'!$A$2:$A$80)=2026),'💸 Pay Tracker'!$G$2:$G$80)</f>
        <v>0</v>
      </c>
      <c r="G13" s="114">
        <f t="shared" si="7"/>
        <v>0</v>
      </c>
      <c r="H13" s="109"/>
    </row>
    <row r="14" ht="15.75" customHeight="1">
      <c r="A14" s="113" t="s">
        <v>96</v>
      </c>
      <c r="B14" s="114">
        <f>SUMPRODUCT(('💸 Pay Tracker'!$C$2:$C$80="YouTube")*(MONTH('💸 Pay Tracker'!$A$2:$A$80)=6)*(YEAR('💸 Pay Tracker'!$A$2:$A$80)=2026),'💸 Pay Tracker'!$G$2:$G$80)+SUMPRODUCT(('💸 Pay Tracker'!$C$2:$C$80="YouTube")*(MONTH('💸 Pay Tracker'!$A$2:$A$80)=6)*(YEAR('💸 Pay Tracker'!$A$2:$A$80)=2026)*('💸 Pay Tracker'!$G$2:$G$80=""),'💸 Pay Tracker'!$E$2:$E$80)</f>
        <v>0</v>
      </c>
      <c r="C14" s="114">
        <f>SUMPRODUCT(('💸 Pay Tracker'!$C$2:$C$80="Culture Genesis")*(MONTH('💸 Pay Tracker'!$A$2:$A$80)=6)*(YEAR('💸 Pay Tracker'!$A$2:$A$80)=2026),'💸 Pay Tracker'!$G$2:$G$80)+SUMPRODUCT(('💸 Pay Tracker'!$C$2:$C$80="Culture Genesis")*(MONTH('💸 Pay Tracker'!$A$2:$A$80)=6)*(YEAR('💸 Pay Tracker'!$A$2:$A$80)=2026)*('💸 Pay Tracker'!$G$2:$G$80=""),'💸 Pay Tracker'!$E$2:$E$80)</f>
        <v>0</v>
      </c>
      <c r="D14" s="114">
        <f>SUMPRODUCT(('💸 Pay Tracker'!$C$2:$C$80="Acast")*(MONTH('💸 Pay Tracker'!$A$2:$A$80)=6)*(YEAR('💸 Pay Tracker'!$A$2:$A$80)=2026),'💸 Pay Tracker'!$G$2:$G$80)+SUMPRODUCT(('💸 Pay Tracker'!$C$2:$C$80="Acast")*(MONTH('💸 Pay Tracker'!$A$2:$A$80)=6)*(YEAR('💸 Pay Tracker'!$A$2:$A$80)=2026)*('💸 Pay Tracker'!$G$2:$G$80=""),'💸 Pay Tracker'!$E$2:$E$80)</f>
        <v>0</v>
      </c>
      <c r="E14" s="114"/>
      <c r="F14" s="114">
        <f>SUMPRODUCT(('💸 Pay Tracker'!$C$2:$C$80&lt;&gt;"YouTube")*('💸 Pay Tracker'!$C$2:$C$80&lt;&gt;"Culture Genesis")*('💸 Pay Tracker'!$C$2:$C$80&lt;&gt;"Acast")*('💸 Pay Tracker'!$C$2:$C$80&lt;&gt;"")*(MONTH('💸 Pay Tracker'!$A$2:$A$80)=6)*(YEAR('💸 Pay Tracker'!$A$2:$A$80)=2026),'💸 Pay Tracker'!$G$2:$G$80)</f>
        <v>0</v>
      </c>
      <c r="G14" s="114">
        <f t="shared" si="7"/>
        <v>0</v>
      </c>
      <c r="H14" s="109"/>
    </row>
    <row r="15" ht="15.75" customHeight="1">
      <c r="A15" s="115" t="s">
        <v>97</v>
      </c>
      <c r="B15" s="116">
        <f t="shared" ref="B15:D15" si="8">SUM(B12:B14)</f>
        <v>0</v>
      </c>
      <c r="C15" s="116">
        <f t="shared" si="8"/>
        <v>0</v>
      </c>
      <c r="D15" s="116">
        <f t="shared" si="8"/>
        <v>0</v>
      </c>
      <c r="E15" s="116"/>
      <c r="F15" s="116">
        <f t="shared" ref="F15:G15" si="9">SUM(F12:F14)</f>
        <v>0</v>
      </c>
      <c r="G15" s="116">
        <f t="shared" si="9"/>
        <v>0</v>
      </c>
      <c r="H15" s="109"/>
    </row>
    <row r="16" ht="15.75" customHeight="1">
      <c r="A16" s="113" t="s">
        <v>98</v>
      </c>
      <c r="B16" s="114">
        <f>SUMPRODUCT(('💸 Pay Tracker'!$C$2:$C$80="YouTube")*(MONTH('💸 Pay Tracker'!$A$2:$A$80)=7)*(YEAR('💸 Pay Tracker'!$A$2:$A$80)=2026),'💸 Pay Tracker'!$G$2:$G$80)+SUMPRODUCT(('💸 Pay Tracker'!$C$2:$C$80="YouTube")*(MONTH('💸 Pay Tracker'!$A$2:$A$80)=7)*(YEAR('💸 Pay Tracker'!$A$2:$A$80)=2026)*('💸 Pay Tracker'!$G$2:$G$80=""),'💸 Pay Tracker'!$E$2:$E$80)</f>
        <v>0</v>
      </c>
      <c r="C16" s="114">
        <f>SUMPRODUCT(('💸 Pay Tracker'!$C$2:$C$80="Culture Genesis")*(MONTH('💸 Pay Tracker'!$A$2:$A$80)=7)*(YEAR('💸 Pay Tracker'!$A$2:$A$80)=2026),'💸 Pay Tracker'!$G$2:$G$80)+SUMPRODUCT(('💸 Pay Tracker'!$C$2:$C$80="Culture Genesis")*(MONTH('💸 Pay Tracker'!$A$2:$A$80)=7)*(YEAR('💸 Pay Tracker'!$A$2:$A$80)=2026)*('💸 Pay Tracker'!$G$2:$G$80=""),'💸 Pay Tracker'!$E$2:$E$80)</f>
        <v>0</v>
      </c>
      <c r="D16" s="114">
        <f>SUMPRODUCT(('💸 Pay Tracker'!$C$2:$C$80="Acast")*(MONTH('💸 Pay Tracker'!$A$2:$A$80)=7)*(YEAR('💸 Pay Tracker'!$A$2:$A$80)=2026),'💸 Pay Tracker'!$G$2:$G$80)+SUMPRODUCT(('💸 Pay Tracker'!$C$2:$C$80="Acast")*(MONTH('💸 Pay Tracker'!$A$2:$A$80)=7)*(YEAR('💸 Pay Tracker'!$A$2:$A$80)=2026)*('💸 Pay Tracker'!$G$2:$G$80=""),'💸 Pay Tracker'!$E$2:$E$80)</f>
        <v>0</v>
      </c>
      <c r="E16" s="114"/>
      <c r="F16" s="114">
        <f>SUMPRODUCT(('💸 Pay Tracker'!$C$2:$C$80&lt;&gt;"YouTube")*('💸 Pay Tracker'!$C$2:$C$80&lt;&gt;"Culture Genesis")*('💸 Pay Tracker'!$C$2:$C$80&lt;&gt;"Acast")*('💸 Pay Tracker'!$C$2:$C$80&lt;&gt;"")*(MONTH('💸 Pay Tracker'!$A$2:$A$80)=7)*(YEAR('💸 Pay Tracker'!$A$2:$A$80)=2026),'💸 Pay Tracker'!$G$2:$G$80)</f>
        <v>0</v>
      </c>
      <c r="G16" s="114">
        <f t="shared" ref="G16:G18" si="10">SUM(B16:F16)</f>
        <v>0</v>
      </c>
      <c r="H16" s="109"/>
    </row>
    <row r="17" ht="15.75" customHeight="1">
      <c r="A17" s="113" t="s">
        <v>99</v>
      </c>
      <c r="B17" s="114">
        <f>SUMPRODUCT(('💸 Pay Tracker'!$C$2:$C$80="YouTube")*(MONTH('💸 Pay Tracker'!$A$2:$A$80)=8)*(YEAR('💸 Pay Tracker'!$A$2:$A$80)=2026),'💸 Pay Tracker'!$G$2:$G$80)+SUMPRODUCT(('💸 Pay Tracker'!$C$2:$C$80="YouTube")*(MONTH('💸 Pay Tracker'!$A$2:$A$80)=8)*(YEAR('💸 Pay Tracker'!$A$2:$A$80)=2026)*('💸 Pay Tracker'!$G$2:$G$80=""),'💸 Pay Tracker'!$E$2:$E$80)</f>
        <v>0</v>
      </c>
      <c r="C17" s="114">
        <f>SUMPRODUCT(('💸 Pay Tracker'!$C$2:$C$80="Culture Genesis")*(MONTH('💸 Pay Tracker'!$A$2:$A$80)=8)*(YEAR('💸 Pay Tracker'!$A$2:$A$80)=2026),'💸 Pay Tracker'!$G$2:$G$80)+SUMPRODUCT(('💸 Pay Tracker'!$C$2:$C$80="Culture Genesis")*(MONTH('💸 Pay Tracker'!$A$2:$A$80)=8)*(YEAR('💸 Pay Tracker'!$A$2:$A$80)=2026)*('💸 Pay Tracker'!$G$2:$G$80=""),'💸 Pay Tracker'!$E$2:$E$80)</f>
        <v>0</v>
      </c>
      <c r="D17" s="114">
        <f>SUMPRODUCT(('💸 Pay Tracker'!$C$2:$C$80="Acast")*(MONTH('💸 Pay Tracker'!$A$2:$A$80)=8)*(YEAR('💸 Pay Tracker'!$A$2:$A$80)=2026),'💸 Pay Tracker'!$G$2:$G$80)+SUMPRODUCT(('💸 Pay Tracker'!$C$2:$C$80="Acast")*(MONTH('💸 Pay Tracker'!$A$2:$A$80)=8)*(YEAR('💸 Pay Tracker'!$A$2:$A$80)=2026)*('💸 Pay Tracker'!$G$2:$G$80=""),'💸 Pay Tracker'!$E$2:$E$80)</f>
        <v>0</v>
      </c>
      <c r="E17" s="114"/>
      <c r="F17" s="114">
        <f>SUMPRODUCT(('💸 Pay Tracker'!$C$2:$C$80&lt;&gt;"YouTube")*('💸 Pay Tracker'!$C$2:$C$80&lt;&gt;"Culture Genesis")*('💸 Pay Tracker'!$C$2:$C$80&lt;&gt;"Acast")*('💸 Pay Tracker'!$C$2:$C$80&lt;&gt;"")*(MONTH('💸 Pay Tracker'!$A$2:$A$80)=8)*(YEAR('💸 Pay Tracker'!$A$2:$A$80)=2026),'💸 Pay Tracker'!$G$2:$G$80)</f>
        <v>0</v>
      </c>
      <c r="G17" s="114">
        <f t="shared" si="10"/>
        <v>0</v>
      </c>
      <c r="H17" s="109"/>
    </row>
    <row r="18" ht="15.75" customHeight="1">
      <c r="A18" s="113" t="s">
        <v>100</v>
      </c>
      <c r="B18" s="114">
        <f>SUMPRODUCT(('💸 Pay Tracker'!$C$2:$C$80="YouTube")*(MONTH('💸 Pay Tracker'!$A$2:$A$80)=9)*(YEAR('💸 Pay Tracker'!$A$2:$A$80)=2026),'💸 Pay Tracker'!$G$2:$G$80)+SUMPRODUCT(('💸 Pay Tracker'!$C$2:$C$80="YouTube")*(MONTH('💸 Pay Tracker'!$A$2:$A$80)=9)*(YEAR('💸 Pay Tracker'!$A$2:$A$80)=2026)*('💸 Pay Tracker'!$G$2:$G$80=""),'💸 Pay Tracker'!$E$2:$E$80)</f>
        <v>0</v>
      </c>
      <c r="C18" s="114">
        <f>SUMPRODUCT(('💸 Pay Tracker'!$C$2:$C$80="Culture Genesis")*(MONTH('💸 Pay Tracker'!$A$2:$A$80)=9)*(YEAR('💸 Pay Tracker'!$A$2:$A$80)=2026),'💸 Pay Tracker'!$G$2:$G$80)+SUMPRODUCT(('💸 Pay Tracker'!$C$2:$C$80="Culture Genesis")*(MONTH('💸 Pay Tracker'!$A$2:$A$80)=9)*(YEAR('💸 Pay Tracker'!$A$2:$A$80)=2026)*('💸 Pay Tracker'!$G$2:$G$80=""),'💸 Pay Tracker'!$E$2:$E$80)</f>
        <v>0</v>
      </c>
      <c r="D18" s="114">
        <f>SUMPRODUCT(('💸 Pay Tracker'!$C$2:$C$80="Acast")*(MONTH('💸 Pay Tracker'!$A$2:$A$80)=9)*(YEAR('💸 Pay Tracker'!$A$2:$A$80)=2026),'💸 Pay Tracker'!$G$2:$G$80)+SUMPRODUCT(('💸 Pay Tracker'!$C$2:$C$80="Acast")*(MONTH('💸 Pay Tracker'!$A$2:$A$80)=9)*(YEAR('💸 Pay Tracker'!$A$2:$A$80)=2026)*('💸 Pay Tracker'!$G$2:$G$80=""),'💸 Pay Tracker'!$E$2:$E$80)</f>
        <v>0</v>
      </c>
      <c r="E18" s="114"/>
      <c r="F18" s="114">
        <f>SUMPRODUCT(('💸 Pay Tracker'!$C$2:$C$80&lt;&gt;"YouTube")*('💸 Pay Tracker'!$C$2:$C$80&lt;&gt;"Culture Genesis")*('💸 Pay Tracker'!$C$2:$C$80&lt;&gt;"Acast")*('💸 Pay Tracker'!$C$2:$C$80&lt;&gt;"")*(MONTH('💸 Pay Tracker'!$A$2:$A$80)=9)*(YEAR('💸 Pay Tracker'!$A$2:$A$80)=2026),'💸 Pay Tracker'!$G$2:$G$80)</f>
        <v>0</v>
      </c>
      <c r="G18" s="114">
        <f t="shared" si="10"/>
        <v>0</v>
      </c>
      <c r="H18" s="109"/>
    </row>
    <row r="19" ht="15.75" customHeight="1">
      <c r="A19" s="115" t="s">
        <v>101</v>
      </c>
      <c r="B19" s="116">
        <f t="shared" ref="B19:D19" si="11">SUM(B16:B18)</f>
        <v>0</v>
      </c>
      <c r="C19" s="116">
        <f t="shared" si="11"/>
        <v>0</v>
      </c>
      <c r="D19" s="116">
        <f t="shared" si="11"/>
        <v>0</v>
      </c>
      <c r="E19" s="116"/>
      <c r="F19" s="116">
        <f t="shared" ref="F19:G19" si="12">SUM(F16:F18)</f>
        <v>0</v>
      </c>
      <c r="G19" s="116">
        <f t="shared" si="12"/>
        <v>0</v>
      </c>
      <c r="H19" s="109"/>
    </row>
    <row r="20" ht="15.75" customHeight="1">
      <c r="A20" s="117" t="s">
        <v>102</v>
      </c>
      <c r="B20" s="118">
        <f t="shared" ref="B20:D20" si="13">B7+B11+B15+B19</f>
        <v>33459.56</v>
      </c>
      <c r="C20" s="118">
        <f t="shared" si="13"/>
        <v>7563.63</v>
      </c>
      <c r="D20" s="118">
        <f t="shared" si="13"/>
        <v>630.51</v>
      </c>
      <c r="E20" s="118"/>
      <c r="F20" s="118">
        <f t="shared" ref="F20:G20" si="14">F7+F11+F15+F19</f>
        <v>45000</v>
      </c>
      <c r="G20" s="118">
        <f t="shared" si="14"/>
        <v>86653.7</v>
      </c>
      <c r="H20" s="109"/>
    </row>
    <row r="21" ht="15.75" customHeight="1">
      <c r="A21" s="109"/>
      <c r="B21" s="109"/>
      <c r="C21" s="109"/>
      <c r="D21" s="109"/>
      <c r="E21" s="109"/>
      <c r="F21" s="109"/>
      <c r="G21" s="109"/>
      <c r="H21" s="109"/>
    </row>
    <row r="22" ht="15.75" customHeight="1">
      <c r="A22" s="119" t="s">
        <v>103</v>
      </c>
      <c r="B22" s="109"/>
      <c r="C22" s="109"/>
      <c r="D22" s="109"/>
      <c r="E22" s="109"/>
      <c r="F22" s="109"/>
      <c r="G22" s="109"/>
      <c r="H22" s="109"/>
    </row>
    <row r="23" ht="15.75" customHeight="1">
      <c r="A23" s="120" t="s">
        <v>38</v>
      </c>
      <c r="B23" s="120" t="s">
        <v>42</v>
      </c>
      <c r="C23" s="121" t="s">
        <v>104</v>
      </c>
      <c r="D23" s="109"/>
      <c r="E23" s="109"/>
      <c r="F23" s="109"/>
      <c r="G23" s="109"/>
      <c r="H23" s="109"/>
    </row>
    <row r="24" ht="15.75" customHeight="1">
      <c r="A24" s="122" t="s">
        <v>60</v>
      </c>
      <c r="B24" s="114">
        <f>B20</f>
        <v>33459.56</v>
      </c>
      <c r="C24" s="123">
        <f>IF(G20&gt;0,B24/G20,0)</f>
        <v>0.3861296171</v>
      </c>
      <c r="D24" s="109"/>
      <c r="E24" s="109"/>
      <c r="F24" s="109"/>
      <c r="G24" s="109"/>
      <c r="H24" s="109"/>
    </row>
    <row r="25" ht="15.75" customHeight="1">
      <c r="A25" s="124" t="s">
        <v>55</v>
      </c>
      <c r="B25" s="114">
        <f>C20</f>
        <v>7563.63</v>
      </c>
      <c r="C25" s="123">
        <f>IF(G20&gt;0,B25/G20,0)</f>
        <v>0.08728571313</v>
      </c>
      <c r="D25" s="109"/>
      <c r="E25" s="109"/>
      <c r="F25" s="109"/>
      <c r="G25" s="109"/>
      <c r="H25" s="109"/>
    </row>
    <row r="26" ht="15.75" customHeight="1">
      <c r="A26" s="122" t="s">
        <v>53</v>
      </c>
      <c r="B26" s="114">
        <f>D20</f>
        <v>630.51</v>
      </c>
      <c r="C26" s="123">
        <f>IF(G20&gt;0,B26/G20,0)</f>
        <v>0.007276204017</v>
      </c>
      <c r="D26" s="109"/>
      <c r="E26" s="109"/>
      <c r="F26" s="109"/>
      <c r="G26" s="109"/>
      <c r="H26" s="109"/>
    </row>
    <row r="27" ht="15.75" customHeight="1">
      <c r="A27" s="124" t="s">
        <v>84</v>
      </c>
      <c r="B27" s="114">
        <f>F20</f>
        <v>45000</v>
      </c>
      <c r="C27" s="123">
        <f>IF(G20&gt;0,B27/G20,0)</f>
        <v>0.5193084658</v>
      </c>
      <c r="D27" s="109"/>
      <c r="E27" s="109"/>
      <c r="F27" s="109"/>
      <c r="G27" s="109"/>
      <c r="H27" s="10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20.0"/>
    <col customWidth="1" min="4" max="4" width="14.0"/>
    <col customWidth="1" min="5" max="6" width="45.0"/>
    <col customWidth="1" min="7" max="27" width="8.71"/>
  </cols>
  <sheetData>
    <row r="1">
      <c r="A1" s="125" t="s">
        <v>105</v>
      </c>
      <c r="B1" s="125" t="s">
        <v>106</v>
      </c>
      <c r="C1" s="125" t="s">
        <v>107</v>
      </c>
      <c r="D1" s="125" t="s">
        <v>108</v>
      </c>
      <c r="E1" s="125" t="s">
        <v>109</v>
      </c>
      <c r="F1" s="126" t="s">
        <v>110</v>
      </c>
    </row>
    <row r="2">
      <c r="A2" s="127" t="s">
        <v>111</v>
      </c>
      <c r="B2" s="128" t="s">
        <v>112</v>
      </c>
      <c r="C2" s="129" t="s">
        <v>113</v>
      </c>
      <c r="D2" s="129" t="s">
        <v>114</v>
      </c>
      <c r="E2" s="129" t="s">
        <v>115</v>
      </c>
      <c r="F2" s="130" t="s">
        <v>116</v>
      </c>
    </row>
    <row r="3">
      <c r="A3" s="127" t="s">
        <v>55</v>
      </c>
      <c r="B3" s="128" t="s">
        <v>117</v>
      </c>
      <c r="C3" s="129" t="s">
        <v>118</v>
      </c>
      <c r="D3" s="129" t="s">
        <v>29</v>
      </c>
      <c r="E3" s="129" t="s">
        <v>119</v>
      </c>
      <c r="F3" s="130" t="s">
        <v>116</v>
      </c>
    </row>
    <row r="4">
      <c r="A4" s="127" t="s">
        <v>120</v>
      </c>
      <c r="B4" s="129" t="s">
        <v>121</v>
      </c>
      <c r="C4" s="129" t="s">
        <v>122</v>
      </c>
      <c r="D4" s="129" t="s">
        <v>123</v>
      </c>
      <c r="E4" s="129" t="s">
        <v>124</v>
      </c>
      <c r="F4" s="130" t="s">
        <v>125</v>
      </c>
    </row>
    <row r="5">
      <c r="A5" s="127" t="s">
        <v>126</v>
      </c>
      <c r="B5" s="129" t="s">
        <v>127</v>
      </c>
      <c r="C5" s="129" t="s">
        <v>128</v>
      </c>
      <c r="D5" s="129" t="s">
        <v>29</v>
      </c>
      <c r="E5" s="129" t="s">
        <v>129</v>
      </c>
      <c r="F5" s="131"/>
    </row>
    <row r="6">
      <c r="A6" s="132" t="s">
        <v>130</v>
      </c>
      <c r="B6" s="132" t="s">
        <v>131</v>
      </c>
      <c r="C6" s="132" t="s">
        <v>132</v>
      </c>
      <c r="E6" s="132" t="s">
        <v>133</v>
      </c>
    </row>
    <row r="7">
      <c r="A7" s="132" t="s">
        <v>134</v>
      </c>
      <c r="B7" s="133" t="s">
        <v>28</v>
      </c>
    </row>
    <row r="8">
      <c r="A8" s="132" t="s">
        <v>80</v>
      </c>
      <c r="B8" s="133" t="s">
        <v>28</v>
      </c>
    </row>
    <row r="9">
      <c r="A9" s="132" t="s">
        <v>135</v>
      </c>
      <c r="B9" s="133" t="s">
        <v>28</v>
      </c>
    </row>
    <row r="12">
      <c r="A12" s="132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8" t="s">
        <v>81</v>
      </c>
    </row>
    <row r="2">
      <c r="A2" s="110" t="s">
        <v>82</v>
      </c>
      <c r="B2" s="109"/>
      <c r="C2" s="109"/>
      <c r="D2" s="109"/>
      <c r="E2" s="109"/>
      <c r="F2" s="109"/>
      <c r="G2" s="109"/>
    </row>
    <row r="3">
      <c r="A3" s="111" t="s">
        <v>83</v>
      </c>
      <c r="B3" s="112" t="s">
        <v>60</v>
      </c>
      <c r="C3" s="111" t="s">
        <v>55</v>
      </c>
      <c r="D3" s="112" t="s">
        <v>53</v>
      </c>
      <c r="E3" s="112" t="s">
        <v>51</v>
      </c>
      <c r="F3" s="111" t="s">
        <v>84</v>
      </c>
      <c r="G3" s="111" t="s">
        <v>85</v>
      </c>
    </row>
    <row r="4">
      <c r="A4" s="134">
        <v>45870.0</v>
      </c>
      <c r="B4" s="135">
        <v>0.0</v>
      </c>
      <c r="C4" s="135">
        <v>0.0</v>
      </c>
      <c r="D4" s="135" t="str">
        <f>'💸 Pay Tracker'!E2</f>
        <v/>
      </c>
      <c r="E4" s="135">
        <v>0.0</v>
      </c>
      <c r="F4" s="135">
        <v>0.0</v>
      </c>
      <c r="G4" s="135">
        <v>0.0</v>
      </c>
    </row>
    <row r="5">
      <c r="A5" s="134">
        <v>45901.0</v>
      </c>
      <c r="B5" s="135">
        <v>0.0</v>
      </c>
      <c r="C5" s="135">
        <v>0.0</v>
      </c>
      <c r="D5" s="135">
        <f>'💸 Pay Tracker'!E4</f>
        <v>0</v>
      </c>
      <c r="E5" s="135">
        <v>0.0</v>
      </c>
      <c r="F5" s="135">
        <v>0.0</v>
      </c>
      <c r="G5" s="135">
        <v>0.0</v>
      </c>
    </row>
    <row r="6">
      <c r="A6" s="113" t="s">
        <v>86</v>
      </c>
      <c r="B6" s="135">
        <v>0.0</v>
      </c>
      <c r="C6" s="135">
        <v>0.0</v>
      </c>
      <c r="D6" s="114" t="str">
        <f>'💸 Pay Tracker'!E5</f>
        <v/>
      </c>
      <c r="E6" s="135">
        <v>0.0</v>
      </c>
      <c r="F6" s="114">
        <f>SUMPRODUCT(('💸 Pay Tracker'!$C$2:$C$80&lt;&gt;"YouTube")*('💸 Pay Tracker'!$C$2:$C$80&lt;&gt;"Culture Genesis")*('💸 Pay Tracker'!$C$2:$C$80&lt;&gt;"Acast")*('💸 Pay Tracker'!$C$2:$C$80&lt;&gt;"")*(MONTH('💸 Pay Tracker'!$A$2:$A$80)=10)*(YEAR('💸 Pay Tracker'!$A$2:$A$80)=2025),'💸 Pay Tracker'!$G$2:$G$80)</f>
        <v>0</v>
      </c>
      <c r="G6" s="114">
        <f t="shared" ref="G6:G8" si="1">SUM(B6:F6)</f>
        <v>0</v>
      </c>
    </row>
    <row r="7">
      <c r="A7" s="113" t="s">
        <v>87</v>
      </c>
      <c r="B7" s="135">
        <v>0.0</v>
      </c>
      <c r="C7" s="135">
        <v>0.0</v>
      </c>
      <c r="D7" s="114">
        <f>'💸 Pay Tracker'!E6</f>
        <v>630.51</v>
      </c>
      <c r="E7" s="135">
        <v>0.0</v>
      </c>
      <c r="F7" s="114">
        <f>SUMPRODUCT(('💸 Pay Tracker'!$C$2:$C$80&lt;&gt;"YouTube")*('💸 Pay Tracker'!$C$2:$C$80&lt;&gt;"Culture Genesis")*('💸 Pay Tracker'!$C$2:$C$80&lt;&gt;"Acast")*('💸 Pay Tracker'!$C$2:$C$80&lt;&gt;"")*(MONTH('💸 Pay Tracker'!$A$2:$A$80)=11)*(YEAR('💸 Pay Tracker'!$A$2:$A$80)=2025),'💸 Pay Tracker'!$G$2:$G$80)</f>
        <v>0</v>
      </c>
      <c r="G7" s="114">
        <f t="shared" si="1"/>
        <v>630.51</v>
      </c>
    </row>
    <row r="8">
      <c r="A8" s="113" t="s">
        <v>88</v>
      </c>
      <c r="B8" s="114">
        <f>SUMPRODUCT(('💸 Pay Tracker'!$C$2:$C$80="YouTube")*(MONTH('💸 Pay Tracker'!$A$2:$A$80)=12)*(YEAR('💸 Pay Tracker'!$A$2:$A$80)=2025),'💸 Pay Tracker'!$G$2:$G$80)+SUMPRODUCT(('💸 Pay Tracker'!$C$2:$C$80="YouTube")*(MONTH('💸 Pay Tracker'!$A$2:$A$80)=12)*(YEAR('💸 Pay Tracker'!$A$2:$A$80)=2025)*('💸 Pay Tracker'!$G$2:$G$80=""),'💸 Pay Tracker'!$E$2:$E$80)</f>
        <v>14841.11</v>
      </c>
      <c r="C8" s="114">
        <f>SUMPRODUCT(('💸 Pay Tracker'!$C$2:$C$80="Culture Genesis")*(MONTH('💸 Pay Tracker'!$A$2:$A$80)=12)*(YEAR('💸 Pay Tracker'!$A$2:$A$80)=2025),'💸 Pay Tracker'!$G$2:$G$80)+SUMPRODUCT(('💸 Pay Tracker'!$C$2:$C$80="Culture Genesis")*(MONTH('💸 Pay Tracker'!$A$2:$A$80)=12)*(YEAR('💸 Pay Tracker'!$A$2:$A$80)=2025)*('💸 Pay Tracker'!$G$2:$G$80=""),'💸 Pay Tracker'!$E$2:$E$80)</f>
        <v>2887.07</v>
      </c>
      <c r="D8" s="114">
        <f>'💸 Pay Tracker'!E7</f>
        <v>3155.81</v>
      </c>
      <c r="E8" s="135">
        <v>0.0</v>
      </c>
      <c r="F8" s="114">
        <f>SUMPRODUCT(('💸 Pay Tracker'!$C$2:$C$80&lt;&gt;"YouTube")*('💸 Pay Tracker'!$C$2:$C$80&lt;&gt;"Culture Genesis")*('💸 Pay Tracker'!$C$2:$C$80&lt;&gt;"Acast")*('💸 Pay Tracker'!$C$2:$C$80&lt;&gt;"")*(MONTH('💸 Pay Tracker'!$A$2:$A$80)=12)*(YEAR('💸 Pay Tracker'!$A$2:$A$80)=2025),'💸 Pay Tracker'!$G$2:$G$80)</f>
        <v>45000</v>
      </c>
      <c r="G8" s="114">
        <f t="shared" si="1"/>
        <v>65883.99</v>
      </c>
    </row>
    <row r="9">
      <c r="A9" s="115" t="s">
        <v>89</v>
      </c>
      <c r="B9" s="116">
        <f t="shared" ref="B9:D9" si="2">SUM(B6:B8)</f>
        <v>14841.11</v>
      </c>
      <c r="C9" s="116">
        <f t="shared" si="2"/>
        <v>2887.07</v>
      </c>
      <c r="D9" s="116">
        <f t="shared" si="2"/>
        <v>3786.32</v>
      </c>
      <c r="E9" s="116"/>
      <c r="F9" s="116">
        <f t="shared" ref="F9:G9" si="3">SUM(F6:F8)</f>
        <v>45000</v>
      </c>
      <c r="G9" s="116">
        <f t="shared" si="3"/>
        <v>66514.5</v>
      </c>
    </row>
    <row r="10">
      <c r="A10" s="113" t="s">
        <v>90</v>
      </c>
      <c r="B10" s="114">
        <f>SUMPRODUCT(('💸 Pay Tracker'!$C$2:$C$80="YouTube")*(MONTH('💸 Pay Tracker'!$A$2:$A$80)=1)*(YEAR('💸 Pay Tracker'!$A$2:$A$80)=2026),'💸 Pay Tracker'!$G$2:$G$80)+SUMPRODUCT(('💸 Pay Tracker'!$C$2:$C$80="YouTube")*(MONTH('💸 Pay Tracker'!$A$2:$A$80)=1)*(YEAR('💸 Pay Tracker'!$A$2:$A$80)=2026)*('💸 Pay Tracker'!$G$2:$G$80=""),'💸 Pay Tracker'!$E$2:$E$80)</f>
        <v>5171.85</v>
      </c>
      <c r="C10" s="114">
        <f>SUMPRODUCT(('💸 Pay Tracker'!$C$2:$C$80="Culture Genesis")*(MONTH('💸 Pay Tracker'!$A$2:$A$80)=1)*(YEAR('💸 Pay Tracker'!$A$2:$A$80)=2026),'💸 Pay Tracker'!$G$2:$G$80)+SUMPRODUCT(('💸 Pay Tracker'!$C$2:$C$80="Culture Genesis")*(MONTH('💸 Pay Tracker'!$A$2:$A$80)=1)*(YEAR('💸 Pay Tracker'!$A$2:$A$80)=2026)*('💸 Pay Tracker'!$G$2:$G$80=""),'💸 Pay Tracker'!$E$2:$E$80)</f>
        <v>0</v>
      </c>
      <c r="D10" s="114">
        <f>SUMPRODUCT(('💸 Pay Tracker'!$C$2:$C$80="Acast")*(MONTH('💸 Pay Tracker'!$A$2:$A$80)=1)*(YEAR('💸 Pay Tracker'!$A$2:$A$80)=2026),'💸 Pay Tracker'!$G$2:$G$80)+SUMPRODUCT(('💸 Pay Tracker'!$C$2:$C$80="Acast")*(MONTH('💸 Pay Tracker'!$A$2:$A$80)=1)*(YEAR('💸 Pay Tracker'!$A$2:$A$80)=2026)*('💸 Pay Tracker'!$G$2:$G$80=""),'💸 Pay Tracker'!$E$2:$E$80)</f>
        <v>630.51</v>
      </c>
      <c r="E10" s="114"/>
      <c r="F10" s="114">
        <f>SUMPRODUCT(('💸 Pay Tracker'!$C$2:$C$80&lt;&gt;"YouTube")*('💸 Pay Tracker'!$C$2:$C$80&lt;&gt;"Culture Genesis")*('💸 Pay Tracker'!$C$2:$C$80&lt;&gt;"Acast")*('💸 Pay Tracker'!$C$2:$C$80&lt;&gt;"")*(MONTH('💸 Pay Tracker'!$A$2:$A$80)=1)*(YEAR('💸 Pay Tracker'!$A$2:$A$80)=2026),'💸 Pay Tracker'!$G$2:$G$80)</f>
        <v>0</v>
      </c>
      <c r="G10" s="114">
        <f t="shared" ref="G10:G12" si="4">SUM(B10:F10)</f>
        <v>5802.36</v>
      </c>
    </row>
    <row r="11">
      <c r="A11" s="113" t="s">
        <v>91</v>
      </c>
      <c r="B11" s="114">
        <f>SUMPRODUCT(('💸 Pay Tracker'!$C$2:$C$80="YouTube")*(MONTH('💸 Pay Tracker'!$A$2:$A$80)=2)*(YEAR('💸 Pay Tracker'!$A$2:$A$80)=2026),'💸 Pay Tracker'!$G$2:$G$80)+SUMPRODUCT(('💸 Pay Tracker'!$C$2:$C$80="YouTube")*(MONTH('💸 Pay Tracker'!$A$2:$A$80)=2)*(YEAR('💸 Pay Tracker'!$A$2:$A$80)=2026)*('💸 Pay Tracker'!$G$2:$G$80=""),'💸 Pay Tracker'!$E$2:$E$80)</f>
        <v>0</v>
      </c>
      <c r="C11" s="114">
        <f>SUMPRODUCT(('💸 Pay Tracker'!$C$2:$C$80="Culture Genesis")*(MONTH('💸 Pay Tracker'!$A$2:$A$80)=2)*(YEAR('💸 Pay Tracker'!$A$2:$A$80)=2026),'💸 Pay Tracker'!$G$2:$G$80)+SUMPRODUCT(('💸 Pay Tracker'!$C$2:$C$80="Culture Genesis")*(MONTH('💸 Pay Tracker'!$A$2:$A$80)=2)*(YEAR('💸 Pay Tracker'!$A$2:$A$80)=2026)*('💸 Pay Tracker'!$G$2:$G$80=""),'💸 Pay Tracker'!$E$2:$E$80)</f>
        <v>0</v>
      </c>
      <c r="D11" s="114">
        <f>SUMPRODUCT(('💸 Pay Tracker'!$C$2:$C$80="Acast")*(MONTH('💸 Pay Tracker'!$A$2:$A$80)=2)*(YEAR('💸 Pay Tracker'!$A$2:$A$80)=2026),'💸 Pay Tracker'!$G$2:$G$80)+SUMPRODUCT(('💸 Pay Tracker'!$C$2:$C$80="Acast")*(MONTH('💸 Pay Tracker'!$A$2:$A$80)=2)*(YEAR('💸 Pay Tracker'!$A$2:$A$80)=2026)*('💸 Pay Tracker'!$G$2:$G$80=""),'💸 Pay Tracker'!$E$2:$E$80)</f>
        <v>0</v>
      </c>
      <c r="E11" s="114"/>
      <c r="F11" s="114">
        <f>SUMPRODUCT(('💸 Pay Tracker'!$C$2:$C$80&lt;&gt;"YouTube")*('💸 Pay Tracker'!$C$2:$C$80&lt;&gt;"Culture Genesis")*('💸 Pay Tracker'!$C$2:$C$80&lt;&gt;"Acast")*('💸 Pay Tracker'!$C$2:$C$80&lt;&gt;"")*(MONTH('💸 Pay Tracker'!$A$2:$A$80)=2)*(YEAR('💸 Pay Tracker'!$A$2:$A$80)=2026),'💸 Pay Tracker'!$G$2:$G$80)</f>
        <v>0</v>
      </c>
      <c r="G11" s="114">
        <f t="shared" si="4"/>
        <v>0</v>
      </c>
    </row>
    <row r="12">
      <c r="A12" s="113" t="s">
        <v>92</v>
      </c>
      <c r="B12" s="114">
        <f>SUMPRODUCT(('💸 Pay Tracker'!$C$2:$C$80="YouTube")*(MONTH('💸 Pay Tracker'!$A$2:$A$80)=3)*(YEAR('💸 Pay Tracker'!$A$2:$A$80)=2026),'💸 Pay Tracker'!$G$2:$G$80)+SUMPRODUCT(('💸 Pay Tracker'!$C$2:$C$80="YouTube")*(MONTH('💸 Pay Tracker'!$A$2:$A$80)=3)*(YEAR('💸 Pay Tracker'!$A$2:$A$80)=2026)*('💸 Pay Tracker'!$G$2:$G$80=""),'💸 Pay Tracker'!$E$2:$E$80)</f>
        <v>0</v>
      </c>
      <c r="C12" s="114">
        <f>SUMPRODUCT(('💸 Pay Tracker'!$C$2:$C$80="Culture Genesis")*(MONTH('💸 Pay Tracker'!$A$2:$A$80)=3)*(YEAR('💸 Pay Tracker'!$A$2:$A$80)=2026),'💸 Pay Tracker'!$G$2:$G$80)+SUMPRODUCT(('💸 Pay Tracker'!$C$2:$C$80="Culture Genesis")*(MONTH('💸 Pay Tracker'!$A$2:$A$80)=3)*(YEAR('💸 Pay Tracker'!$A$2:$A$80)=2026)*('💸 Pay Tracker'!$G$2:$G$80=""),'💸 Pay Tracker'!$E$2:$E$80)</f>
        <v>0</v>
      </c>
      <c r="D12" s="114">
        <f>SUMPRODUCT(('💸 Pay Tracker'!$C$2:$C$80="Acast")*(MONTH('💸 Pay Tracker'!$A$2:$A$80)=3)*(YEAR('💸 Pay Tracker'!$A$2:$A$80)=2026),'💸 Pay Tracker'!$G$2:$G$80)+SUMPRODUCT(('💸 Pay Tracker'!$C$2:$C$80="Acast")*(MONTH('💸 Pay Tracker'!$A$2:$A$80)=3)*(YEAR('💸 Pay Tracker'!$A$2:$A$80)=2026)*('💸 Pay Tracker'!$G$2:$G$80=""),'💸 Pay Tracker'!$E$2:$E$80)</f>
        <v>0</v>
      </c>
      <c r="E12" s="114"/>
      <c r="F12" s="114">
        <f>SUMPRODUCT(('💸 Pay Tracker'!$C$2:$C$80&lt;&gt;"YouTube")*('💸 Pay Tracker'!$C$2:$C$80&lt;&gt;"Culture Genesis")*('💸 Pay Tracker'!$C$2:$C$80&lt;&gt;"Acast")*('💸 Pay Tracker'!$C$2:$C$80&lt;&gt;"")*(MONTH('💸 Pay Tracker'!$A$2:$A$80)=3)*(YEAR('💸 Pay Tracker'!$A$2:$A$80)=2026),'💸 Pay Tracker'!$G$2:$G$80)</f>
        <v>0</v>
      </c>
      <c r="G12" s="114">
        <f t="shared" si="4"/>
        <v>0</v>
      </c>
    </row>
    <row r="13">
      <c r="A13" s="115" t="s">
        <v>93</v>
      </c>
      <c r="B13" s="116">
        <f t="shared" ref="B13:D13" si="5">SUM(B10:B12)</f>
        <v>5171.85</v>
      </c>
      <c r="C13" s="116">
        <f t="shared" si="5"/>
        <v>0</v>
      </c>
      <c r="D13" s="116">
        <f t="shared" si="5"/>
        <v>630.51</v>
      </c>
      <c r="E13" s="116"/>
      <c r="F13" s="116">
        <f t="shared" ref="F13:G13" si="6">SUM(F10:F12)</f>
        <v>0</v>
      </c>
      <c r="G13" s="116">
        <f t="shared" si="6"/>
        <v>5802.36</v>
      </c>
    </row>
    <row r="14">
      <c r="A14" s="113" t="s">
        <v>94</v>
      </c>
      <c r="B14" s="114">
        <f>SUMPRODUCT(('💸 Pay Tracker'!$C$2:$C$80="YouTube")*(MONTH('💸 Pay Tracker'!$A$2:$A$80)=4)*(YEAR('💸 Pay Tracker'!$A$2:$A$80)=2026),'💸 Pay Tracker'!$G$2:$G$80)+SUMPRODUCT(('💸 Pay Tracker'!$C$2:$C$80="YouTube")*(MONTH('💸 Pay Tracker'!$A$2:$A$80)=4)*(YEAR('💸 Pay Tracker'!$A$2:$A$80)=2026)*('💸 Pay Tracker'!$G$2:$G$80=""),'💸 Pay Tracker'!$E$2:$E$80)</f>
        <v>0</v>
      </c>
      <c r="C14" s="114">
        <f>SUMPRODUCT(('💸 Pay Tracker'!$C$2:$C$80="Culture Genesis")*(MONTH('💸 Pay Tracker'!$A$2:$A$80)=4)*(YEAR('💸 Pay Tracker'!$A$2:$A$80)=2026),'💸 Pay Tracker'!$G$2:$G$80)+SUMPRODUCT(('💸 Pay Tracker'!$C$2:$C$80="Culture Genesis")*(MONTH('💸 Pay Tracker'!$A$2:$A$80)=4)*(YEAR('💸 Pay Tracker'!$A$2:$A$80)=2026)*('💸 Pay Tracker'!$G$2:$G$80=""),'💸 Pay Tracker'!$E$2:$E$80)</f>
        <v>0</v>
      </c>
      <c r="D14" s="114">
        <f>SUMPRODUCT(('💸 Pay Tracker'!$C$2:$C$80="Acast")*(MONTH('💸 Pay Tracker'!$A$2:$A$80)=4)*(YEAR('💸 Pay Tracker'!$A$2:$A$80)=2026),'💸 Pay Tracker'!$G$2:$G$80)+SUMPRODUCT(('💸 Pay Tracker'!$C$2:$C$80="Acast")*(MONTH('💸 Pay Tracker'!$A$2:$A$80)=4)*(YEAR('💸 Pay Tracker'!$A$2:$A$80)=2026)*('💸 Pay Tracker'!$G$2:$G$80=""),'💸 Pay Tracker'!$E$2:$E$80)</f>
        <v>0</v>
      </c>
      <c r="E14" s="114"/>
      <c r="F14" s="114">
        <f>SUMPRODUCT(('💸 Pay Tracker'!$C$2:$C$80&lt;&gt;"YouTube")*('💸 Pay Tracker'!$C$2:$C$80&lt;&gt;"Culture Genesis")*('💸 Pay Tracker'!$C$2:$C$80&lt;&gt;"Acast")*('💸 Pay Tracker'!$C$2:$C$80&lt;&gt;"")*(MONTH('💸 Pay Tracker'!$A$2:$A$80)=4)*(YEAR('💸 Pay Tracker'!$A$2:$A$80)=2026),'💸 Pay Tracker'!$G$2:$G$80)</f>
        <v>0</v>
      </c>
      <c r="G14" s="114">
        <f t="shared" ref="G14:G16" si="7">SUM(B14:F14)</f>
        <v>0</v>
      </c>
    </row>
    <row r="15">
      <c r="A15" s="113" t="s">
        <v>95</v>
      </c>
      <c r="B15" s="114">
        <f>SUMPRODUCT(('💸 Pay Tracker'!$C$2:$C$80="YouTube")*(MONTH('💸 Pay Tracker'!$A$2:$A$80)=5)*(YEAR('💸 Pay Tracker'!$A$2:$A$80)=2026),'💸 Pay Tracker'!$G$2:$G$80)+SUMPRODUCT(('💸 Pay Tracker'!$C$2:$C$80="YouTube")*(MONTH('💸 Pay Tracker'!$A$2:$A$80)=5)*(YEAR('💸 Pay Tracker'!$A$2:$A$80)=2026)*('💸 Pay Tracker'!$G$2:$G$80=""),'💸 Pay Tracker'!$E$2:$E$80)</f>
        <v>0</v>
      </c>
      <c r="C15" s="114">
        <f>SUMPRODUCT(('💸 Pay Tracker'!$C$2:$C$80="Culture Genesis")*(MONTH('💸 Pay Tracker'!$A$2:$A$80)=5)*(YEAR('💸 Pay Tracker'!$A$2:$A$80)=2026),'💸 Pay Tracker'!$G$2:$G$80)+SUMPRODUCT(('💸 Pay Tracker'!$C$2:$C$80="Culture Genesis")*(MONTH('💸 Pay Tracker'!$A$2:$A$80)=5)*(YEAR('💸 Pay Tracker'!$A$2:$A$80)=2026)*('💸 Pay Tracker'!$G$2:$G$80=""),'💸 Pay Tracker'!$E$2:$E$80)</f>
        <v>0</v>
      </c>
      <c r="D15" s="114">
        <f>SUMPRODUCT(('💸 Pay Tracker'!$C$2:$C$80="Acast")*(MONTH('💸 Pay Tracker'!$A$2:$A$80)=5)*(YEAR('💸 Pay Tracker'!$A$2:$A$80)=2026),'💸 Pay Tracker'!$G$2:$G$80)+SUMPRODUCT(('💸 Pay Tracker'!$C$2:$C$80="Acast")*(MONTH('💸 Pay Tracker'!$A$2:$A$80)=5)*(YEAR('💸 Pay Tracker'!$A$2:$A$80)=2026)*('💸 Pay Tracker'!$G$2:$G$80=""),'💸 Pay Tracker'!$E$2:$E$80)</f>
        <v>0</v>
      </c>
      <c r="E15" s="114"/>
      <c r="F15" s="114">
        <f>SUMPRODUCT(('💸 Pay Tracker'!$C$2:$C$80&lt;&gt;"YouTube")*('💸 Pay Tracker'!$C$2:$C$80&lt;&gt;"Culture Genesis")*('💸 Pay Tracker'!$C$2:$C$80&lt;&gt;"Acast")*('💸 Pay Tracker'!$C$2:$C$80&lt;&gt;"")*(MONTH('💸 Pay Tracker'!$A$2:$A$80)=5)*(YEAR('💸 Pay Tracker'!$A$2:$A$80)=2026),'💸 Pay Tracker'!$G$2:$G$80)</f>
        <v>0</v>
      </c>
      <c r="G15" s="114">
        <f t="shared" si="7"/>
        <v>0</v>
      </c>
    </row>
    <row r="16">
      <c r="A16" s="113" t="s">
        <v>96</v>
      </c>
      <c r="B16" s="114">
        <f>SUMPRODUCT(('💸 Pay Tracker'!$C$2:$C$80="YouTube")*(MONTH('💸 Pay Tracker'!$A$2:$A$80)=6)*(YEAR('💸 Pay Tracker'!$A$2:$A$80)=2026),'💸 Pay Tracker'!$G$2:$G$80)+SUMPRODUCT(('💸 Pay Tracker'!$C$2:$C$80="YouTube")*(MONTH('💸 Pay Tracker'!$A$2:$A$80)=6)*(YEAR('💸 Pay Tracker'!$A$2:$A$80)=2026)*('💸 Pay Tracker'!$G$2:$G$80=""),'💸 Pay Tracker'!$E$2:$E$80)</f>
        <v>0</v>
      </c>
      <c r="C16" s="114">
        <f>SUMPRODUCT(('💸 Pay Tracker'!$C$2:$C$80="Culture Genesis")*(MONTH('💸 Pay Tracker'!$A$2:$A$80)=6)*(YEAR('💸 Pay Tracker'!$A$2:$A$80)=2026),'💸 Pay Tracker'!$G$2:$G$80)+SUMPRODUCT(('💸 Pay Tracker'!$C$2:$C$80="Culture Genesis")*(MONTH('💸 Pay Tracker'!$A$2:$A$80)=6)*(YEAR('💸 Pay Tracker'!$A$2:$A$80)=2026)*('💸 Pay Tracker'!$G$2:$G$80=""),'💸 Pay Tracker'!$E$2:$E$80)</f>
        <v>0</v>
      </c>
      <c r="D16" s="114">
        <f>SUMPRODUCT(('💸 Pay Tracker'!$C$2:$C$80="Acast")*(MONTH('💸 Pay Tracker'!$A$2:$A$80)=6)*(YEAR('💸 Pay Tracker'!$A$2:$A$80)=2026),'💸 Pay Tracker'!$G$2:$G$80)+SUMPRODUCT(('💸 Pay Tracker'!$C$2:$C$80="Acast")*(MONTH('💸 Pay Tracker'!$A$2:$A$80)=6)*(YEAR('💸 Pay Tracker'!$A$2:$A$80)=2026)*('💸 Pay Tracker'!$G$2:$G$80=""),'💸 Pay Tracker'!$E$2:$E$80)</f>
        <v>0</v>
      </c>
      <c r="E16" s="114"/>
      <c r="F16" s="114">
        <f>SUMPRODUCT(('💸 Pay Tracker'!$C$2:$C$80&lt;&gt;"YouTube")*('💸 Pay Tracker'!$C$2:$C$80&lt;&gt;"Culture Genesis")*('💸 Pay Tracker'!$C$2:$C$80&lt;&gt;"Acast")*('💸 Pay Tracker'!$C$2:$C$80&lt;&gt;"")*(MONTH('💸 Pay Tracker'!$A$2:$A$80)=6)*(YEAR('💸 Pay Tracker'!$A$2:$A$80)=2026),'💸 Pay Tracker'!$G$2:$G$80)</f>
        <v>0</v>
      </c>
      <c r="G16" s="114">
        <f t="shared" si="7"/>
        <v>0</v>
      </c>
    </row>
    <row r="17">
      <c r="A17" s="115" t="s">
        <v>97</v>
      </c>
      <c r="B17" s="116">
        <f t="shared" ref="B17:D17" si="8">SUM(B14:B16)</f>
        <v>0</v>
      </c>
      <c r="C17" s="116">
        <f t="shared" si="8"/>
        <v>0</v>
      </c>
      <c r="D17" s="116">
        <f t="shared" si="8"/>
        <v>0</v>
      </c>
      <c r="E17" s="116"/>
      <c r="F17" s="116">
        <f t="shared" ref="F17:G17" si="9">SUM(F14:F16)</f>
        <v>0</v>
      </c>
      <c r="G17" s="116">
        <f t="shared" si="9"/>
        <v>0</v>
      </c>
    </row>
    <row r="18">
      <c r="A18" s="113" t="s">
        <v>98</v>
      </c>
      <c r="B18" s="114">
        <f>SUMPRODUCT(('💸 Pay Tracker'!$C$2:$C$80="YouTube")*(MONTH('💸 Pay Tracker'!$A$2:$A$80)=7)*(YEAR('💸 Pay Tracker'!$A$2:$A$80)=2026),'💸 Pay Tracker'!$G$2:$G$80)+SUMPRODUCT(('💸 Pay Tracker'!$C$2:$C$80="YouTube")*(MONTH('💸 Pay Tracker'!$A$2:$A$80)=7)*(YEAR('💸 Pay Tracker'!$A$2:$A$80)=2026)*('💸 Pay Tracker'!$G$2:$G$80=""),'💸 Pay Tracker'!$E$2:$E$80)</f>
        <v>0</v>
      </c>
      <c r="C18" s="114">
        <f>SUMPRODUCT(('💸 Pay Tracker'!$C$2:$C$80="Culture Genesis")*(MONTH('💸 Pay Tracker'!$A$2:$A$80)=7)*(YEAR('💸 Pay Tracker'!$A$2:$A$80)=2026),'💸 Pay Tracker'!$G$2:$G$80)+SUMPRODUCT(('💸 Pay Tracker'!$C$2:$C$80="Culture Genesis")*(MONTH('💸 Pay Tracker'!$A$2:$A$80)=7)*(YEAR('💸 Pay Tracker'!$A$2:$A$80)=2026)*('💸 Pay Tracker'!$G$2:$G$80=""),'💸 Pay Tracker'!$E$2:$E$80)</f>
        <v>0</v>
      </c>
      <c r="D18" s="114">
        <f>SUMPRODUCT(('💸 Pay Tracker'!$C$2:$C$80="Acast")*(MONTH('💸 Pay Tracker'!$A$2:$A$80)=7)*(YEAR('💸 Pay Tracker'!$A$2:$A$80)=2026),'💸 Pay Tracker'!$G$2:$G$80)+SUMPRODUCT(('💸 Pay Tracker'!$C$2:$C$80="Acast")*(MONTH('💸 Pay Tracker'!$A$2:$A$80)=7)*(YEAR('💸 Pay Tracker'!$A$2:$A$80)=2026)*('💸 Pay Tracker'!$G$2:$G$80=""),'💸 Pay Tracker'!$E$2:$E$80)</f>
        <v>0</v>
      </c>
      <c r="E18" s="114"/>
      <c r="F18" s="114">
        <f>SUMPRODUCT(('💸 Pay Tracker'!$C$2:$C$80&lt;&gt;"YouTube")*('💸 Pay Tracker'!$C$2:$C$80&lt;&gt;"Culture Genesis")*('💸 Pay Tracker'!$C$2:$C$80&lt;&gt;"Acast")*('💸 Pay Tracker'!$C$2:$C$80&lt;&gt;"")*(MONTH('💸 Pay Tracker'!$A$2:$A$80)=7)*(YEAR('💸 Pay Tracker'!$A$2:$A$80)=2026),'💸 Pay Tracker'!$G$2:$G$80)</f>
        <v>0</v>
      </c>
      <c r="G18" s="114">
        <f t="shared" ref="G18:G20" si="10">SUM(B18:F18)</f>
        <v>0</v>
      </c>
    </row>
    <row r="19">
      <c r="A19" s="113" t="s">
        <v>99</v>
      </c>
      <c r="B19" s="114">
        <f>SUMPRODUCT(('💸 Pay Tracker'!$C$2:$C$80="YouTube")*(MONTH('💸 Pay Tracker'!$A$2:$A$80)=8)*(YEAR('💸 Pay Tracker'!$A$2:$A$80)=2026),'💸 Pay Tracker'!$G$2:$G$80)+SUMPRODUCT(('💸 Pay Tracker'!$C$2:$C$80="YouTube")*(MONTH('💸 Pay Tracker'!$A$2:$A$80)=8)*(YEAR('💸 Pay Tracker'!$A$2:$A$80)=2026)*('💸 Pay Tracker'!$G$2:$G$80=""),'💸 Pay Tracker'!$E$2:$E$80)</f>
        <v>0</v>
      </c>
      <c r="C19" s="114">
        <f>SUMPRODUCT(('💸 Pay Tracker'!$C$2:$C$80="Culture Genesis")*(MONTH('💸 Pay Tracker'!$A$2:$A$80)=8)*(YEAR('💸 Pay Tracker'!$A$2:$A$80)=2026),'💸 Pay Tracker'!$G$2:$G$80)+SUMPRODUCT(('💸 Pay Tracker'!$C$2:$C$80="Culture Genesis")*(MONTH('💸 Pay Tracker'!$A$2:$A$80)=8)*(YEAR('💸 Pay Tracker'!$A$2:$A$80)=2026)*('💸 Pay Tracker'!$G$2:$G$80=""),'💸 Pay Tracker'!$E$2:$E$80)</f>
        <v>0</v>
      </c>
      <c r="D19" s="114">
        <f>SUMPRODUCT(('💸 Pay Tracker'!$C$2:$C$80="Acast")*(MONTH('💸 Pay Tracker'!$A$2:$A$80)=8)*(YEAR('💸 Pay Tracker'!$A$2:$A$80)=2026),'💸 Pay Tracker'!$G$2:$G$80)+SUMPRODUCT(('💸 Pay Tracker'!$C$2:$C$80="Acast")*(MONTH('💸 Pay Tracker'!$A$2:$A$80)=8)*(YEAR('💸 Pay Tracker'!$A$2:$A$80)=2026)*('💸 Pay Tracker'!$G$2:$G$80=""),'💸 Pay Tracker'!$E$2:$E$80)</f>
        <v>0</v>
      </c>
      <c r="E19" s="114"/>
      <c r="F19" s="114">
        <f>SUMPRODUCT(('💸 Pay Tracker'!$C$2:$C$80&lt;&gt;"YouTube")*('💸 Pay Tracker'!$C$2:$C$80&lt;&gt;"Culture Genesis")*('💸 Pay Tracker'!$C$2:$C$80&lt;&gt;"Acast")*('💸 Pay Tracker'!$C$2:$C$80&lt;&gt;"")*(MONTH('💸 Pay Tracker'!$A$2:$A$80)=8)*(YEAR('💸 Pay Tracker'!$A$2:$A$80)=2026),'💸 Pay Tracker'!$G$2:$G$80)</f>
        <v>0</v>
      </c>
      <c r="G19" s="114">
        <f t="shared" si="10"/>
        <v>0</v>
      </c>
    </row>
    <row r="20">
      <c r="A20" s="113" t="s">
        <v>100</v>
      </c>
      <c r="B20" s="114">
        <f>SUMPRODUCT(('💸 Pay Tracker'!$C$2:$C$80="YouTube")*(MONTH('💸 Pay Tracker'!$A$2:$A$80)=9)*(YEAR('💸 Pay Tracker'!$A$2:$A$80)=2026),'💸 Pay Tracker'!$G$2:$G$80)+SUMPRODUCT(('💸 Pay Tracker'!$C$2:$C$80="YouTube")*(MONTH('💸 Pay Tracker'!$A$2:$A$80)=9)*(YEAR('💸 Pay Tracker'!$A$2:$A$80)=2026)*('💸 Pay Tracker'!$G$2:$G$80=""),'💸 Pay Tracker'!$E$2:$E$80)</f>
        <v>0</v>
      </c>
      <c r="C20" s="114">
        <f>SUMPRODUCT(('💸 Pay Tracker'!$C$2:$C$80="Culture Genesis")*(MONTH('💸 Pay Tracker'!$A$2:$A$80)=9)*(YEAR('💸 Pay Tracker'!$A$2:$A$80)=2026),'💸 Pay Tracker'!$G$2:$G$80)+SUMPRODUCT(('💸 Pay Tracker'!$C$2:$C$80="Culture Genesis")*(MONTH('💸 Pay Tracker'!$A$2:$A$80)=9)*(YEAR('💸 Pay Tracker'!$A$2:$A$80)=2026)*('💸 Pay Tracker'!$G$2:$G$80=""),'💸 Pay Tracker'!$E$2:$E$80)</f>
        <v>0</v>
      </c>
      <c r="D20" s="114">
        <f>SUMPRODUCT(('💸 Pay Tracker'!$C$2:$C$80="Acast")*(MONTH('💸 Pay Tracker'!$A$2:$A$80)=9)*(YEAR('💸 Pay Tracker'!$A$2:$A$80)=2026),'💸 Pay Tracker'!$G$2:$G$80)+SUMPRODUCT(('💸 Pay Tracker'!$C$2:$C$80="Acast")*(MONTH('💸 Pay Tracker'!$A$2:$A$80)=9)*(YEAR('💸 Pay Tracker'!$A$2:$A$80)=2026)*('💸 Pay Tracker'!$G$2:$G$80=""),'💸 Pay Tracker'!$E$2:$E$80)</f>
        <v>0</v>
      </c>
      <c r="E20" s="114"/>
      <c r="F20" s="114">
        <f>SUMPRODUCT(('💸 Pay Tracker'!$C$2:$C$80&lt;&gt;"YouTube")*('💸 Pay Tracker'!$C$2:$C$80&lt;&gt;"Culture Genesis")*('💸 Pay Tracker'!$C$2:$C$80&lt;&gt;"Acast")*('💸 Pay Tracker'!$C$2:$C$80&lt;&gt;"")*(MONTH('💸 Pay Tracker'!$A$2:$A$80)=9)*(YEAR('💸 Pay Tracker'!$A$2:$A$80)=2026),'💸 Pay Tracker'!$G$2:$G$80)</f>
        <v>0</v>
      </c>
      <c r="G20" s="114">
        <f t="shared" si="10"/>
        <v>0</v>
      </c>
    </row>
    <row r="21">
      <c r="A21" s="115" t="s">
        <v>101</v>
      </c>
      <c r="B21" s="116">
        <f t="shared" ref="B21:D21" si="11">SUM(B18:B20)</f>
        <v>0</v>
      </c>
      <c r="C21" s="116">
        <f t="shared" si="11"/>
        <v>0</v>
      </c>
      <c r="D21" s="116">
        <f t="shared" si="11"/>
        <v>0</v>
      </c>
      <c r="E21" s="116"/>
      <c r="F21" s="116">
        <f t="shared" ref="F21:G21" si="12">SUM(F18:F20)</f>
        <v>0</v>
      </c>
      <c r="G21" s="116">
        <f t="shared" si="12"/>
        <v>0</v>
      </c>
    </row>
    <row r="22">
      <c r="A22" s="117" t="s">
        <v>102</v>
      </c>
      <c r="B22" s="118">
        <f t="shared" ref="B22:D22" si="13">B9+B13+B17+B21</f>
        <v>20012.96</v>
      </c>
      <c r="C22" s="118">
        <f t="shared" si="13"/>
        <v>2887.07</v>
      </c>
      <c r="D22" s="118">
        <f t="shared" si="13"/>
        <v>4416.83</v>
      </c>
      <c r="E22" s="118"/>
      <c r="F22" s="118">
        <f t="shared" ref="F22:G22" si="14">F9+F13+F17+F21</f>
        <v>45000</v>
      </c>
      <c r="G22" s="118">
        <f t="shared" si="14"/>
        <v>72316.86</v>
      </c>
    </row>
    <row r="23">
      <c r="A23" s="109"/>
      <c r="B23" s="109"/>
      <c r="C23" s="109"/>
      <c r="D23" s="109"/>
      <c r="E23" s="109"/>
      <c r="F23" s="109"/>
      <c r="G23" s="109"/>
    </row>
  </sheetData>
  <mergeCells count="1">
    <mergeCell ref="A1:G1"/>
  </mergeCells>
  <drawing r:id="rId1"/>
</worksheet>
</file>